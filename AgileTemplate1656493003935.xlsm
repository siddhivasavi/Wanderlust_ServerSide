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6"/>
  <workbookPr codeName="ThisWorkbook" defaultThemeVersion="124226"/>
  <mc:AlternateContent xmlns:mc="http://schemas.openxmlformats.org/markup-compatibility/2006">
    <mc:Choice Requires="x15">
      <x15ac:absPath xmlns:x15ac="http://schemas.microsoft.com/office/spreadsheetml/2010/11/ac" url="C:\Users\samiksha.khandait\Downloads\"/>
    </mc:Choice>
  </mc:AlternateContent>
  <xr:revisionPtr revIDLastSave="0" documentId="13_ncr:1_{FA433931-F1BF-41B3-86B1-9C894BCD99A9}" xr6:coauthVersionLast="36" xr6:coauthVersionMax="45" xr10:uidLastSave="{00000000-0000-0000-0000-000000000000}"/>
  <bookViews>
    <workbookView xWindow="-120" yWindow="-120" windowWidth="20730" windowHeight="11310" tabRatio="775" firstSheet="2" activeTab="7"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Sheet1" sheetId="58" r:id="rId6"/>
    <sheet name="Sheet2" sheetId="59" r:id="rId7"/>
    <sheet name="Retrospection" sheetId="34" r:id="rId8"/>
    <sheet name="Reference Data" sheetId="55" r:id="rId9"/>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workbook>
</file>

<file path=xl/calcChain.xml><?xml version="1.0" encoding="utf-8"?>
<calcChain xmlns="http://schemas.openxmlformats.org/spreadsheetml/2006/main">
  <c r="J3" i="57" l="1"/>
  <c r="K3" i="57"/>
  <c r="L3" i="57"/>
  <c r="I3" i="57"/>
  <c r="E17" i="55" l="1"/>
  <c r="E8" i="55"/>
  <c r="L3" i="54"/>
  <c r="K3" i="54" l="1"/>
  <c r="J3" i="54"/>
  <c r="I3" i="54"/>
  <c r="H8" i="55" l="1"/>
  <c r="D7" i="55"/>
  <c r="D8" i="55" s="1"/>
  <c r="E5" i="55"/>
  <c r="I7" i="55" s="1"/>
  <c r="D15" i="55" l="1"/>
  <c r="D16" i="55" s="1"/>
  <c r="D17" i="55" s="1"/>
  <c r="I8" i="55"/>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<sst xmlns="http://schemas.openxmlformats.org/spreadsheetml/2006/main" count="430" uniqueCount="147">
  <si>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</si>
  <si>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</si>
  <si>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</si>
  <si>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</si>
  <si>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</si>
  <si>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</si>
  <si>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</si>
  <si>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</si>
  <si>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</si>
  <si>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</si>
  <si>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</si>
  <si>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</si>
  <si>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</si>
  <si>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</si>
  <si>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</si>
  <si>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</si>
  <si>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</si>
  <si>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</si>
  <si>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</si>
  <si>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</si>
  <si>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</si>
  <si>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</si>
  <si>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</si>
  <si>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</si>
  <si>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</si>
  <si>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</si>
  <si>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</si>
  <si>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</si>
  <si>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</si>
  <si>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</si>
  <si>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</si>
  <si>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</si>
  <si>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</si>
  <si>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</si>
  <si>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</si>
  <si>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</si>
  <si>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</si>
  <si>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</si>
  <si>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</si>
  <si>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</si>
  <si>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</si>
  <si>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</si>
  <si>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</si>
  <si>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</si>
  <si>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</si>
  <si>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</si>
  <si>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</si>
  <si>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</si>
  <si>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</si>
  <si>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</si>
  <si>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</si>
  <si>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</si>
  <si>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</si>
  <si>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</si>
  <si>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</si>
  <si>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</si>
  <si>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</si>
  <si>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</si>
  <si>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</si>
  <si>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</si>
  <si>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</si>
  <si>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</si>
  <si>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</si>
  <si>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</si>
  <si>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</si>
  <si>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</si>
  <si>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</si>
  <si>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</si>
  <si>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</si>
  <si>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US01</t>
  </si>
  <si>
    <t>MUST HAVE</t>
  </si>
  <si>
    <t>3- Completed</t>
  </si>
  <si>
    <t>US02</t>
  </si>
  <si>
    <t>US03</t>
  </si>
  <si>
    <t>US04</t>
  </si>
  <si>
    <t>SHOULD HAVE</t>
  </si>
  <si>
    <t>US05</t>
  </si>
  <si>
    <t>US06</t>
  </si>
  <si>
    <t>US07</t>
  </si>
  <si>
    <t>US08</t>
  </si>
  <si>
    <t>US-02</t>
  </si>
  <si>
    <t>US-03</t>
  </si>
  <si>
    <t>US-04</t>
  </si>
  <si>
    <t>US-05</t>
  </si>
  <si>
    <t>US-06</t>
  </si>
  <si>
    <t>US-07</t>
  </si>
  <si>
    <t>US-08</t>
  </si>
  <si>
    <r>
      <rPr>
        <b/>
        <sz val="11"/>
        <rFont val="Arial"/>
        <family val="2"/>
      </rPr>
      <t>Logic</t>
    </r>
    <r>
      <rPr>
        <sz val="11"/>
        <rFont val="Arial"/>
        <family val="2"/>
      </rPr>
      <t>:As a visitor, I should be able to login to the application by providing my credintial, i.e., contact number and password,so that I can avail of all the services.</t>
    </r>
  </si>
  <si>
    <r>
      <rPr>
        <b/>
        <sz val="11"/>
        <rFont val="Arial"/>
        <family val="2"/>
      </rPr>
      <t>Register</t>
    </r>
    <r>
      <rPr>
        <sz val="11"/>
        <rFont val="Arial"/>
        <family val="2"/>
      </rPr>
      <t>:As a visitor, I should be able to register to the application by providing by providing details like name, email id, contact number and password so that I can use the services and get the benefits of registrated user.</t>
    </r>
  </si>
  <si>
    <r>
      <rPr>
        <b/>
        <sz val="11"/>
        <rFont val="Arial"/>
        <family val="2"/>
      </rPr>
      <t>Search Package</t>
    </r>
    <r>
      <rPr>
        <sz val="11"/>
        <rFont val="Arial"/>
        <family val="2"/>
      </rPr>
      <t>:As a visitor or a registered user, I should be able to see Hot deals available and search for other availbable packages to exaplain all the packages available for booking.</t>
    </r>
  </si>
  <si>
    <r>
      <rPr>
        <b/>
        <sz val="11"/>
        <rFont val="Arial"/>
        <family val="2"/>
      </rPr>
      <t>Book Package</t>
    </r>
    <r>
      <rPr>
        <sz val="11"/>
        <rFont val="Arial"/>
        <family val="2"/>
      </rPr>
      <t>:As a logged-in-user, I should be able to Book a desired package.</t>
    </r>
  </si>
  <si>
    <r>
      <rPr>
        <b/>
        <sz val="10"/>
        <rFont val="Arial"/>
        <family val="2"/>
      </rPr>
      <t>View Planned Trips</t>
    </r>
    <r>
      <rPr>
        <sz val="10"/>
        <rFont val="Arial"/>
        <family val="2"/>
      </rPr>
      <t>:As a logged-in-user, I should be able to view my planned trips.</t>
    </r>
  </si>
  <si>
    <r>
      <rPr>
        <b/>
        <sz val="11"/>
        <rFont val="Arial"/>
        <family val="2"/>
      </rPr>
      <t>Cancel Booking</t>
    </r>
    <r>
      <rPr>
        <sz val="11"/>
        <rFont val="Arial"/>
        <family val="2"/>
      </rPr>
      <t>:As a logged-in-user, I should be able to cancel a particular booking.</t>
    </r>
  </si>
  <si>
    <r>
      <rPr>
        <b/>
        <sz val="11"/>
        <rFont val="Arial"/>
        <family val="2"/>
      </rPr>
      <t>Logout</t>
    </r>
    <r>
      <rPr>
        <sz val="11"/>
        <rFont val="Arial"/>
        <family val="2"/>
      </rPr>
      <t>:As logged-in-user, I should be able to logout.</t>
    </r>
  </si>
  <si>
    <r>
      <rPr>
        <b/>
        <sz val="11"/>
        <rFont val="Arial"/>
        <family val="2"/>
      </rPr>
      <t>View Package Details</t>
    </r>
    <r>
      <rPr>
        <sz val="11"/>
        <rFont val="Arial"/>
        <family val="2"/>
      </rPr>
      <t>:As a visitor or a registered user, I should be able to view package details so that I can review the whole package.</t>
    </r>
  </si>
  <si>
    <t xml:space="preserve">environment and git setup, regestration form </t>
  </si>
  <si>
    <t>changes in registration validation</t>
  </si>
  <si>
    <t>Discussed on packages and way to implement</t>
  </si>
  <si>
    <t xml:space="preserve">Discussed on new functionality i.e. if no trips are planned it should redirect to packages page </t>
  </si>
  <si>
    <t>Testing Discussed</t>
  </si>
  <si>
    <t>Code Coverage</t>
  </si>
  <si>
    <t>Discussion on booking methods</t>
  </si>
  <si>
    <t>Functnality of Hot deals, Itinerary viewer through sidebar</t>
  </si>
  <si>
    <t>faced lot of isseues with git operations</t>
  </si>
  <si>
    <t>database fetching and connectivity issue</t>
  </si>
  <si>
    <t>card was not created as desired,data is not captured my backend, error getting data to form backend to frontend</t>
  </si>
  <si>
    <t>Error in redirecting to page</t>
  </si>
  <si>
    <t>Data is not visible in sidebar, facing error in itenerary viewer file</t>
  </si>
  <si>
    <t>Database fetching and connectivity issue, data in form of json is not post through api</t>
  </si>
  <si>
    <t>The code coverage percentage was not&gt;80,referance tavle data is also deleted</t>
  </si>
  <si>
    <t>Few test cases not passed</t>
  </si>
  <si>
    <t>cleared with git operations</t>
  </si>
  <si>
    <t>clear all</t>
  </si>
  <si>
    <t>using bootstrap for cards, discussing error in component file</t>
  </si>
  <si>
    <t>Implemented the functinality successfully</t>
  </si>
  <si>
    <t>Discussed and resolved</t>
  </si>
  <si>
    <t>changes in given backend url</t>
  </si>
  <si>
    <t>added few test caes with proper exception</t>
  </si>
  <si>
    <t>1320363 1320367 1320352</t>
  </si>
  <si>
    <t>1320363 1320367</t>
  </si>
  <si>
    <t>1320363 1320362</t>
  </si>
  <si>
    <t>1320367 1320362</t>
  </si>
  <si>
    <t>1320362 1320357</t>
  </si>
  <si>
    <t>1320362  1320357</t>
  </si>
  <si>
    <t>1320362   1320367</t>
  </si>
  <si>
    <t>1320362  1320367</t>
  </si>
  <si>
    <t>1320362  1320363</t>
  </si>
  <si>
    <t>1320362  1320352</t>
  </si>
  <si>
    <t>1230363  1320367</t>
  </si>
  <si>
    <t>Coding</t>
  </si>
  <si>
    <t>Integration</t>
  </si>
  <si>
    <t xml:space="preserve">General </t>
  </si>
  <si>
    <t>Unit Test</t>
  </si>
  <si>
    <t>1320367  1320352</t>
  </si>
  <si>
    <t>1320362   1320352</t>
  </si>
  <si>
    <t>View package List, Login Page, filtering data of the packages</t>
  </si>
  <si>
    <t>Started doing frotntend for register and write API</t>
  </si>
  <si>
    <t>Started doing frontend for viewDetails of packages and designing</t>
  </si>
  <si>
    <t>Started doing frontend for viewBooked trips and write API</t>
  </si>
  <si>
    <t>Started working on cancel booking for user and do some backend changes</t>
  </si>
  <si>
    <t>Post Request Issue</t>
  </si>
  <si>
    <t>Error during data showing throw side bar</t>
  </si>
  <si>
    <t>Parent data is also deleted</t>
  </si>
  <si>
    <t>Continue with individual stories</t>
  </si>
  <si>
    <t>Used pipe to modify API response</t>
  </si>
  <si>
    <t>Change container and make sidebar static</t>
  </si>
  <si>
    <t>Break the link of the tables before cancel booking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</si>
</sst>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2"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
      <sz val="11"/>
      <name val="Arial"/>
      <family val="2"/>
    </font>
    <font>
      <b/>
      <sz val="11"/>
      <name val="Arial"/>
      <family val="2"/>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medium">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5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0" xfId="0" applyFont="1" applyBorder="1" applyAlignment="1" applyProtection="1">
      <alignment vertical="center"/>
      <protection locked="0"/>
    </xf>
    <xf numFmtId="0" fontId="20" fillId="0" borderId="1" xfId="0" applyFont="1" applyFill="1" applyBorder="1" applyAlignment="1">
      <alignment horizontal="center" vertical="center" wrapText="1"/>
    </xf>
    <xf numFmtId="0" fontId="20" fillId="0" borderId="1" xfId="0" applyFont="1" applyBorder="1" applyAlignment="1">
      <alignment horizontal="left" vertical="center" wrapText="1"/>
    </xf>
    <xf numFmtId="0" fontId="20" fillId="0" borderId="1" xfId="0" applyFont="1" applyBorder="1" applyAlignment="1">
      <alignment vertical="center" wrapText="1"/>
    </xf>
    <xf numFmtId="0" fontId="20" fillId="0" borderId="1" xfId="0" applyFont="1" applyBorder="1" applyAlignment="1">
      <alignment horizontal="center" vertical="center" wrapText="1"/>
    </xf>
    <xf numFmtId="0" fontId="20" fillId="0" borderId="1" xfId="0" quotePrefix="1" applyFont="1" applyBorder="1" applyAlignment="1">
      <alignment horizontal="center" vertical="center" wrapText="1"/>
    </xf>
    <xf numFmtId="0" fontId="20" fillId="0" borderId="8"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vertical="center"/>
    </xf>
    <xf numFmtId="0" fontId="3" fillId="0" borderId="1" xfId="0" applyFont="1" applyFill="1" applyBorder="1" applyAlignment="1">
      <alignment horizontal="center" vertical="center" wrapText="1"/>
    </xf>
    <xf numFmtId="0" fontId="3" fillId="0" borderId="1" xfId="2" applyBorder="1" applyAlignment="1">
      <alignment horizontal="left" vertical="center" wrapText="1"/>
    </xf>
    <xf numFmtId="0" fontId="3" fillId="0" borderId="1" xfId="2" applyFont="1" applyBorder="1" applyAlignment="1">
      <alignment horizontal="left" vertical="center" wrapText="1"/>
    </xf>
    <xf numFmtId="0" fontId="3" fillId="0" borderId="1" xfId="2" quotePrefix="1" applyBorder="1" applyAlignment="1">
      <alignment horizontal="left" vertical="center" wrapText="1"/>
    </xf>
    <xf numFmtId="0" fontId="3" fillId="0" borderId="4" xfId="0" applyFont="1" applyFill="1" applyBorder="1" applyAlignment="1" applyProtection="1">
      <alignment horizontal="center"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0" borderId="29"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2" xfId="0" applyFont="1" applyBorder="1" applyAlignment="1" applyProtection="1">
      <alignment horizontal="center" vertical="center"/>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xf numFmtId="0" fontId="3" fillId="0" borderId="1" xfId="0" applyFont="1" applyFill="1" applyBorder="1" applyAlignment="1">
      <alignment horizontal="center"/>
    </xf>
    <xf numFmtId="0" fontId="3" fillId="0" borderId="0" xfId="0" applyFont="1" applyAlignment="1">
      <alignment horizontal="center"/>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76.5</c:v>
                </c:pt>
                <c:pt idx="1">
                  <c:v>51</c:v>
                </c:pt>
                <c:pt idx="2">
                  <c:v>25.5</c:v>
                </c:pt>
                <c:pt idx="3">
                  <c:v>8.5</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70.5</c:v>
                </c:pt>
                <c:pt idx="1">
                  <c:v>49</c:v>
                </c:pt>
                <c:pt idx="2">
                  <c:v>21.5</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76.5</c:v>
                </c:pt>
                <c:pt idx="1">
                  <c:v>73.5</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70.5</c:v>
                </c:pt>
                <c:pt idx="1">
                  <c:v>63</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73.5</c:v>
                </c:pt>
                <c:pt idx="1">
                  <c:v>49</c:v>
                </c:pt>
                <c:pt idx="2">
                  <c:v>24.5</c:v>
                </c:pt>
                <c:pt idx="3">
                  <c:v>8.17</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63</c:v>
                </c:pt>
                <c:pt idx="1">
                  <c:v>45.5</c:v>
                </c:pt>
                <c:pt idx="2">
                  <c:v>17.5</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4" workbookViewId="0">
      <selection activeCell="L20" sqref="L20"/>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10" t="s">
        <v>9</v>
      </c>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row>
    <row r="3" spans="1:34" ht="19.5" customHeight="1" x14ac:dyDescent="0.2">
      <c r="A3" s="8" t="s">
        <v>11</v>
      </c>
      <c r="B3" s="9"/>
      <c r="C3" s="8"/>
      <c r="D3" s="112" t="s">
        <v>14</v>
      </c>
      <c r="E3" s="113"/>
      <c r="F3" s="8">
        <v>2</v>
      </c>
      <c r="G3" s="8"/>
      <c r="H3" s="8"/>
      <c r="I3" s="8"/>
      <c r="J3" s="112" t="s">
        <v>50</v>
      </c>
      <c r="K3" s="113"/>
      <c r="L3" s="114"/>
      <c r="M3" s="115"/>
      <c r="N3" s="8"/>
      <c r="O3" s="112" t="s">
        <v>13</v>
      </c>
      <c r="P3" s="113"/>
      <c r="Q3" s="113"/>
      <c r="R3" s="113"/>
      <c r="S3" s="116"/>
      <c r="T3" s="10" t="s">
        <v>55</v>
      </c>
      <c r="U3" s="8"/>
      <c r="V3" s="112" t="s">
        <v>51</v>
      </c>
      <c r="W3" s="113"/>
      <c r="X3" s="113"/>
      <c r="Y3" s="113"/>
      <c r="Z3" s="116"/>
      <c r="AA3" s="117"/>
      <c r="AB3" s="117"/>
      <c r="AC3" s="112" t="s">
        <v>12</v>
      </c>
      <c r="AD3" s="116"/>
      <c r="AE3" s="8"/>
      <c r="AF3" s="11"/>
      <c r="AG3" s="11"/>
      <c r="AH3" s="12"/>
    </row>
    <row r="4" spans="1:34" ht="15" customHeight="1" x14ac:dyDescent="0.2"/>
    <row r="5" spans="1:34" ht="21" customHeight="1" x14ac:dyDescent="0.2">
      <c r="A5" s="109" t="s">
        <v>52</v>
      </c>
      <c r="B5" s="109"/>
      <c r="C5" s="109"/>
      <c r="D5" s="109"/>
      <c r="E5" s="109"/>
      <c r="F5" s="109"/>
      <c r="G5" s="109"/>
      <c r="H5" s="109"/>
      <c r="I5" s="109"/>
      <c r="J5" s="109"/>
      <c r="K5" s="109"/>
      <c r="L5" s="109"/>
      <c r="M5" s="109"/>
      <c r="N5" s="109"/>
    </row>
    <row r="6" spans="1:34" ht="12" customHeight="1" x14ac:dyDescent="0.2">
      <c r="A6" s="109"/>
      <c r="B6" s="109"/>
      <c r="C6" s="109"/>
      <c r="D6" s="109"/>
      <c r="E6" s="109"/>
      <c r="F6" s="109"/>
      <c r="G6" s="109"/>
      <c r="H6" s="109"/>
      <c r="I6" s="109"/>
      <c r="J6" s="109"/>
      <c r="K6" s="109"/>
      <c r="L6" s="109"/>
      <c r="M6" s="109"/>
      <c r="N6" s="109"/>
    </row>
    <row r="7" spans="1:34" ht="22.5" customHeight="1" x14ac:dyDescent="0.2"/>
    <row r="9" spans="1:34" x14ac:dyDescent="0.2">
      <c r="L9" s="62"/>
      <c r="M9" s="62"/>
    </row>
    <row r="10" spans="1:34" ht="24" customHeight="1" x14ac:dyDescent="0.2">
      <c r="L10" s="63"/>
      <c r="M10" s="63"/>
    </row>
    <row r="11" spans="1:34" ht="18" customHeight="1" x14ac:dyDescent="0.2">
      <c r="L11" s="64"/>
      <c r="M11" s="64"/>
    </row>
    <row r="13" spans="1:34" x14ac:dyDescent="0.2">
      <c r="B13" s="25"/>
    </row>
    <row r="31" ht="9.75" customHeight="1" x14ac:dyDescent="0.2"/>
    <row r="32" ht="45" customHeight="1" x14ac:dyDescent="0.2"/>
    <row r="33" spans="12:13" ht="27.75" customHeight="1" x14ac:dyDescent="0.2">
      <c r="L33" s="63"/>
      <c r="M33" s="63"/>
    </row>
    <row r="34" spans="12:13" ht="19.5" customHeight="1" x14ac:dyDescent="0.2">
      <c r="L34" s="64"/>
      <c r="M34" s="64"/>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opLeftCell="D16" zoomScale="102" workbookViewId="0">
      <selection activeCell="D5" sqref="D5"/>
    </sheetView>
  </sheetViews>
  <sheetFormatPr defaultRowHeight="12.75" x14ac:dyDescent="0.2"/>
  <cols>
    <col min="2" max="2" width="12.42578125" customWidth="1"/>
    <col min="4" max="4" width="86.28515625" customWidth="1"/>
    <col min="6" max="6" width="16.42578125" customWidth="1"/>
    <col min="7" max="7" width="14.5703125" customWidth="1"/>
    <col min="8" max="8" width="20.42578125" customWidth="1"/>
  </cols>
  <sheetData>
    <row r="1" spans="1:8" ht="75.75" customHeight="1" x14ac:dyDescent="0.2">
      <c r="A1" s="30" t="s">
        <v>36</v>
      </c>
      <c r="B1" s="30" t="s">
        <v>37</v>
      </c>
      <c r="C1" s="37" t="s">
        <v>1</v>
      </c>
      <c r="D1" s="37" t="s">
        <v>6</v>
      </c>
      <c r="E1" s="37" t="s">
        <v>15</v>
      </c>
      <c r="F1" s="37" t="s">
        <v>16</v>
      </c>
      <c r="G1" s="37" t="s">
        <v>17</v>
      </c>
      <c r="H1" s="37" t="s">
        <v>0</v>
      </c>
    </row>
    <row r="2" spans="1:8" ht="44.25" customHeight="1" x14ac:dyDescent="0.2">
      <c r="A2" s="96">
        <v>1</v>
      </c>
      <c r="B2" s="96">
        <v>1</v>
      </c>
      <c r="C2" s="97" t="s">
        <v>69</v>
      </c>
      <c r="D2" s="98" t="s">
        <v>87</v>
      </c>
      <c r="E2" s="99" t="s">
        <v>70</v>
      </c>
      <c r="F2" s="99"/>
      <c r="G2" s="100">
        <v>1320367</v>
      </c>
      <c r="H2" s="99" t="s">
        <v>71</v>
      </c>
    </row>
    <row r="3" spans="1:8" ht="46.5" customHeight="1" x14ac:dyDescent="0.2">
      <c r="A3" s="96">
        <v>1</v>
      </c>
      <c r="B3" s="96">
        <v>1</v>
      </c>
      <c r="C3" s="97" t="s">
        <v>72</v>
      </c>
      <c r="D3" s="98" t="s">
        <v>88</v>
      </c>
      <c r="E3" s="99" t="s">
        <v>70</v>
      </c>
      <c r="F3" s="99"/>
      <c r="G3" s="100">
        <v>1320367</v>
      </c>
      <c r="H3" s="99" t="s">
        <v>71</v>
      </c>
    </row>
    <row r="4" spans="1:8" ht="33.75" customHeight="1" x14ac:dyDescent="0.2">
      <c r="A4" s="96">
        <v>1</v>
      </c>
      <c r="B4" s="96">
        <v>1</v>
      </c>
      <c r="C4" s="97" t="s">
        <v>73</v>
      </c>
      <c r="D4" s="98" t="s">
        <v>89</v>
      </c>
      <c r="E4" s="99" t="s">
        <v>70</v>
      </c>
      <c r="F4" s="99"/>
      <c r="G4" s="100">
        <v>1320363</v>
      </c>
      <c r="H4" s="99" t="s">
        <v>71</v>
      </c>
    </row>
    <row r="5" spans="1:8" ht="47.25" customHeight="1" x14ac:dyDescent="0.2">
      <c r="A5" s="96">
        <v>2</v>
      </c>
      <c r="B5" s="96">
        <v>2</v>
      </c>
      <c r="C5" s="97" t="s">
        <v>74</v>
      </c>
      <c r="D5" s="98" t="s">
        <v>94</v>
      </c>
      <c r="E5" s="102" t="s">
        <v>75</v>
      </c>
      <c r="F5" s="99"/>
      <c r="G5" s="100">
        <v>1320363</v>
      </c>
      <c r="H5" s="99" t="s">
        <v>71</v>
      </c>
    </row>
    <row r="6" spans="1:8" ht="29.25" customHeight="1" x14ac:dyDescent="0.2">
      <c r="A6" s="96">
        <v>2</v>
      </c>
      <c r="B6" s="96">
        <v>2</v>
      </c>
      <c r="C6" s="97" t="s">
        <v>76</v>
      </c>
      <c r="D6" s="98" t="s">
        <v>90</v>
      </c>
      <c r="E6" s="99" t="s">
        <v>70</v>
      </c>
      <c r="F6" s="99"/>
      <c r="G6" s="104">
        <v>1320362</v>
      </c>
      <c r="H6" s="99" t="s">
        <v>71</v>
      </c>
    </row>
    <row r="7" spans="1:8" ht="28.5" x14ac:dyDescent="0.2">
      <c r="A7" s="101">
        <v>2</v>
      </c>
      <c r="B7" s="96">
        <v>2</v>
      </c>
      <c r="C7" s="97" t="s">
        <v>77</v>
      </c>
      <c r="D7" s="34" t="s">
        <v>91</v>
      </c>
      <c r="E7" s="99" t="s">
        <v>70</v>
      </c>
      <c r="F7" s="99"/>
      <c r="G7" s="102">
        <v>1320352</v>
      </c>
      <c r="H7" s="99" t="s">
        <v>71</v>
      </c>
    </row>
    <row r="8" spans="1:8" ht="28.5" x14ac:dyDescent="0.2">
      <c r="A8" s="101">
        <v>2</v>
      </c>
      <c r="B8" s="96">
        <v>2</v>
      </c>
      <c r="C8" s="97" t="s">
        <v>78</v>
      </c>
      <c r="D8" s="98" t="s">
        <v>92</v>
      </c>
      <c r="E8" s="99" t="s">
        <v>70</v>
      </c>
      <c r="F8" s="99"/>
      <c r="G8" s="104">
        <v>1320352</v>
      </c>
      <c r="H8" s="99" t="s">
        <v>71</v>
      </c>
    </row>
    <row r="9" spans="1:8" ht="25.5" x14ac:dyDescent="0.2">
      <c r="A9" s="96">
        <v>1</v>
      </c>
      <c r="B9" s="96">
        <v>1</v>
      </c>
      <c r="C9" s="103" t="s">
        <v>79</v>
      </c>
      <c r="D9" s="98" t="s">
        <v>93</v>
      </c>
      <c r="E9" s="102" t="s">
        <v>75</v>
      </c>
      <c r="F9" s="99"/>
      <c r="G9" s="104">
        <v>1320362</v>
      </c>
      <c r="H9" s="99" t="s">
        <v>71</v>
      </c>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103"/>
  <sheetViews>
    <sheetView showGridLines="0" topLeftCell="A28" workbookViewId="0">
      <selection activeCell="L37" sqref="L37"/>
    </sheetView>
  </sheetViews>
  <sheetFormatPr defaultRowHeight="11.25" x14ac:dyDescent="0.2"/>
  <cols>
    <col min="1" max="1" width="10" style="38" customWidth="1"/>
    <col min="2" max="2" width="9.7109375" style="46" customWidth="1"/>
    <col min="3" max="3" width="44.42578125" style="47" customWidth="1"/>
    <col min="4" max="4" width="11.42578125" style="48" customWidth="1"/>
    <col min="5" max="5" width="11.42578125" style="49" customWidth="1"/>
    <col min="6" max="6" width="15.28515625" style="50" customWidth="1"/>
    <col min="7" max="7" width="17" style="38" customWidth="1"/>
    <col min="8" max="8" width="13.28515625" style="51" customWidth="1"/>
    <col min="9" max="9" width="9.28515625" style="51" customWidth="1"/>
    <col min="10" max="10" width="10.85546875" style="51" customWidth="1"/>
    <col min="11" max="11" width="10.28515625" style="38" customWidth="1"/>
    <col min="12" max="16384" width="9.140625" style="38"/>
  </cols>
  <sheetData>
    <row r="1" spans="1:12" ht="18.75" customHeight="1" thickBot="1" x14ac:dyDescent="0.25">
      <c r="A1" s="118" t="s">
        <v>42</v>
      </c>
      <c r="B1" s="119"/>
      <c r="C1" s="119"/>
      <c r="D1" s="119"/>
      <c r="E1" s="119"/>
      <c r="F1" s="119"/>
      <c r="G1" s="119"/>
      <c r="H1" s="119"/>
      <c r="I1" s="119"/>
      <c r="J1" s="119"/>
      <c r="K1" s="119"/>
      <c r="L1" s="119"/>
    </row>
    <row r="2" spans="1:12" s="39" customFormat="1" ht="45.75" customHeight="1" x14ac:dyDescent="0.2">
      <c r="A2" s="129" t="s">
        <v>1</v>
      </c>
      <c r="B2" s="127" t="s">
        <v>3</v>
      </c>
      <c r="C2" s="120" t="s">
        <v>2</v>
      </c>
      <c r="D2" s="120" t="s">
        <v>8</v>
      </c>
      <c r="E2" s="125" t="s">
        <v>7</v>
      </c>
      <c r="F2" s="120" t="s">
        <v>4</v>
      </c>
      <c r="G2" s="120" t="s">
        <v>5</v>
      </c>
      <c r="H2" s="120" t="s">
        <v>0</v>
      </c>
      <c r="I2" s="65" t="s">
        <v>33</v>
      </c>
      <c r="J2" s="66" t="s">
        <v>26</v>
      </c>
      <c r="K2" s="66" t="s">
        <v>63</v>
      </c>
      <c r="L2" s="66" t="s">
        <v>64</v>
      </c>
    </row>
    <row r="3" spans="1:12" s="39" customFormat="1" ht="30" customHeight="1" x14ac:dyDescent="0.2">
      <c r="A3" s="130"/>
      <c r="B3" s="128"/>
      <c r="C3" s="121"/>
      <c r="D3" s="121"/>
      <c r="E3" s="126"/>
      <c r="F3" s="121"/>
      <c r="G3" s="121"/>
      <c r="H3" s="121"/>
      <c r="I3" s="55">
        <f>SUM(I5:I66)</f>
        <v>64</v>
      </c>
      <c r="J3" s="55">
        <f t="shared" ref="J3:L3" si="0">SUM(J5:J66)</f>
        <v>34.5</v>
      </c>
      <c r="K3" s="55">
        <f t="shared" si="0"/>
        <v>8.5</v>
      </c>
      <c r="L3" s="55">
        <f t="shared" si="0"/>
        <v>0</v>
      </c>
    </row>
    <row r="4" spans="1:12" s="39" customFormat="1" ht="33.75" customHeight="1" thickBot="1" x14ac:dyDescent="0.25">
      <c r="A4" s="131" t="s">
        <v>41</v>
      </c>
      <c r="B4" s="132"/>
      <c r="C4" s="132"/>
      <c r="D4" s="132"/>
      <c r="E4" s="132"/>
      <c r="F4" s="132"/>
      <c r="G4" s="132"/>
      <c r="H4" s="132"/>
      <c r="I4" s="132"/>
      <c r="J4" s="132"/>
      <c r="K4" s="132"/>
      <c r="L4" s="132"/>
    </row>
    <row r="5" spans="1:12" ht="24.75" customHeight="1" thickBot="1" x14ac:dyDescent="0.25">
      <c r="A5" s="122" t="s">
        <v>68</v>
      </c>
      <c r="B5" s="80" t="s">
        <v>27</v>
      </c>
      <c r="C5" s="81" t="s">
        <v>56</v>
      </c>
      <c r="D5" s="82">
        <v>45021</v>
      </c>
      <c r="E5" s="82">
        <v>45021</v>
      </c>
      <c r="F5" s="83" t="s">
        <v>123</v>
      </c>
      <c r="G5" s="82" t="s">
        <v>129</v>
      </c>
      <c r="H5" s="84" t="s">
        <v>71</v>
      </c>
      <c r="I5" s="85">
        <v>0.5</v>
      </c>
      <c r="J5" s="86">
        <v>0</v>
      </c>
      <c r="K5" s="86">
        <v>0</v>
      </c>
      <c r="L5" s="87">
        <v>0</v>
      </c>
    </row>
    <row r="6" spans="1:12" ht="24.75" customHeight="1" thickBot="1" x14ac:dyDescent="0.25">
      <c r="A6" s="123"/>
      <c r="B6" s="72" t="s">
        <v>28</v>
      </c>
      <c r="C6" s="69" t="s">
        <v>57</v>
      </c>
      <c r="D6" s="73">
        <v>45023</v>
      </c>
      <c r="E6" s="73">
        <v>45023</v>
      </c>
      <c r="F6" s="74">
        <v>1320362</v>
      </c>
      <c r="G6" s="73" t="s">
        <v>130</v>
      </c>
      <c r="H6" s="40" t="s">
        <v>71</v>
      </c>
      <c r="I6" s="85">
        <v>2</v>
      </c>
      <c r="J6" s="43">
        <v>2</v>
      </c>
      <c r="K6" s="43">
        <v>2</v>
      </c>
      <c r="L6" s="88">
        <v>0</v>
      </c>
    </row>
    <row r="7" spans="1:12" ht="36" customHeight="1" thickBot="1" x14ac:dyDescent="0.25">
      <c r="A7" s="123"/>
      <c r="B7" s="72" t="s">
        <v>29</v>
      </c>
      <c r="C7" s="69" t="s">
        <v>58</v>
      </c>
      <c r="D7" s="73">
        <v>45021</v>
      </c>
      <c r="E7" s="73">
        <v>45021</v>
      </c>
      <c r="F7" s="74">
        <v>1320363</v>
      </c>
      <c r="G7" s="73" t="s">
        <v>131</v>
      </c>
      <c r="H7" s="40" t="s">
        <v>71</v>
      </c>
      <c r="I7" s="85">
        <v>1</v>
      </c>
      <c r="J7" s="43">
        <v>0</v>
      </c>
      <c r="K7" s="43">
        <v>0</v>
      </c>
      <c r="L7" s="88">
        <v>0</v>
      </c>
    </row>
    <row r="8" spans="1:12" ht="36.75" customHeight="1" thickBot="1" x14ac:dyDescent="0.25">
      <c r="A8" s="123"/>
      <c r="B8" s="72" t="s">
        <v>30</v>
      </c>
      <c r="C8" s="69" t="s">
        <v>59</v>
      </c>
      <c r="D8" s="73">
        <v>45021</v>
      </c>
      <c r="E8" s="73">
        <v>45023</v>
      </c>
      <c r="F8" s="74">
        <v>1320352</v>
      </c>
      <c r="G8" s="73" t="s">
        <v>129</v>
      </c>
      <c r="H8" s="40" t="s">
        <v>71</v>
      </c>
      <c r="I8" s="85">
        <v>1</v>
      </c>
      <c r="J8" s="43">
        <v>0</v>
      </c>
      <c r="K8" s="43">
        <v>0</v>
      </c>
      <c r="L8" s="43">
        <v>0</v>
      </c>
    </row>
    <row r="9" spans="1:12" ht="33" customHeight="1" x14ac:dyDescent="0.2">
      <c r="A9" s="123"/>
      <c r="B9" s="72" t="s">
        <v>31</v>
      </c>
      <c r="C9" s="69" t="s">
        <v>60</v>
      </c>
      <c r="D9" s="73">
        <v>45021</v>
      </c>
      <c r="E9" s="73">
        <v>45021</v>
      </c>
      <c r="F9" s="74" t="s">
        <v>124</v>
      </c>
      <c r="G9" s="73" t="s">
        <v>129</v>
      </c>
      <c r="H9" s="40" t="s">
        <v>71</v>
      </c>
      <c r="I9" s="85">
        <v>1</v>
      </c>
      <c r="J9" s="43">
        <v>0</v>
      </c>
      <c r="K9" s="43">
        <v>0</v>
      </c>
      <c r="L9" s="43">
        <v>0</v>
      </c>
    </row>
    <row r="10" spans="1:12" ht="28.5" customHeight="1" x14ac:dyDescent="0.2">
      <c r="A10" s="123"/>
      <c r="B10" s="72" t="s">
        <v>32</v>
      </c>
      <c r="C10" s="69" t="s">
        <v>61</v>
      </c>
      <c r="D10" s="73">
        <v>45021</v>
      </c>
      <c r="E10" s="73">
        <v>45021</v>
      </c>
      <c r="F10" s="74" t="s">
        <v>125</v>
      </c>
      <c r="G10" s="73" t="s">
        <v>129</v>
      </c>
      <c r="H10" s="40" t="s">
        <v>71</v>
      </c>
      <c r="I10" s="75">
        <v>0</v>
      </c>
      <c r="J10" s="43">
        <v>0</v>
      </c>
      <c r="K10" s="43">
        <v>0</v>
      </c>
      <c r="L10" s="43">
        <v>0</v>
      </c>
    </row>
    <row r="11" spans="1:12" ht="29.25" customHeight="1" thickBot="1" x14ac:dyDescent="0.25">
      <c r="A11" s="124"/>
      <c r="B11" s="89" t="s">
        <v>53</v>
      </c>
      <c r="C11" s="90" t="s">
        <v>62</v>
      </c>
      <c r="D11" s="91">
        <v>45022</v>
      </c>
      <c r="E11" s="73">
        <v>45022</v>
      </c>
      <c r="F11" s="92">
        <v>1320352</v>
      </c>
      <c r="G11" s="91" t="s">
        <v>132</v>
      </c>
      <c r="H11" s="58" t="s">
        <v>71</v>
      </c>
      <c r="I11" s="93">
        <v>0</v>
      </c>
      <c r="J11" s="59">
        <v>0</v>
      </c>
      <c r="K11" s="43">
        <v>0</v>
      </c>
      <c r="L11" s="43">
        <v>0</v>
      </c>
    </row>
    <row r="12" spans="1:12" ht="29.25" customHeight="1" thickBot="1" x14ac:dyDescent="0.25">
      <c r="A12" s="122" t="s">
        <v>80</v>
      </c>
      <c r="B12" s="80" t="s">
        <v>27</v>
      </c>
      <c r="C12" s="81" t="s">
        <v>56</v>
      </c>
      <c r="D12" s="91">
        <v>45021</v>
      </c>
      <c r="E12" s="91">
        <v>45021</v>
      </c>
      <c r="F12" s="83">
        <v>1320352</v>
      </c>
      <c r="G12" s="82" t="s">
        <v>129</v>
      </c>
      <c r="H12" s="84" t="s">
        <v>71</v>
      </c>
      <c r="I12" s="85">
        <v>1</v>
      </c>
      <c r="J12" s="86">
        <v>1</v>
      </c>
      <c r="K12" s="86">
        <v>0</v>
      </c>
      <c r="L12" s="87">
        <v>0</v>
      </c>
    </row>
    <row r="13" spans="1:12" ht="34.5" customHeight="1" thickBot="1" x14ac:dyDescent="0.25">
      <c r="A13" s="123"/>
      <c r="B13" s="72" t="s">
        <v>28</v>
      </c>
      <c r="C13" s="69" t="s">
        <v>57</v>
      </c>
      <c r="D13" s="91">
        <v>45027</v>
      </c>
      <c r="E13" s="91">
        <v>45027</v>
      </c>
      <c r="F13" s="74" t="s">
        <v>126</v>
      </c>
      <c r="G13" s="73" t="s">
        <v>130</v>
      </c>
      <c r="H13" s="40" t="s">
        <v>71</v>
      </c>
      <c r="I13" s="75">
        <v>5</v>
      </c>
      <c r="J13" s="43">
        <v>3</v>
      </c>
      <c r="K13" s="43">
        <v>0</v>
      </c>
      <c r="L13" s="88">
        <v>0</v>
      </c>
    </row>
    <row r="14" spans="1:12" ht="36.75" customHeight="1" thickBot="1" x14ac:dyDescent="0.25">
      <c r="A14" s="123"/>
      <c r="B14" s="72" t="s">
        <v>29</v>
      </c>
      <c r="C14" s="69" t="s">
        <v>58</v>
      </c>
      <c r="D14" s="91">
        <v>45026</v>
      </c>
      <c r="E14" s="91">
        <v>45026</v>
      </c>
      <c r="F14" s="74" t="s">
        <v>126</v>
      </c>
      <c r="G14" s="73" t="s">
        <v>131</v>
      </c>
      <c r="H14" s="40" t="s">
        <v>71</v>
      </c>
      <c r="I14" s="75">
        <v>2</v>
      </c>
      <c r="J14" s="43">
        <v>2</v>
      </c>
      <c r="K14" s="43">
        <v>2</v>
      </c>
      <c r="L14" s="88">
        <v>0</v>
      </c>
    </row>
    <row r="15" spans="1:12" ht="34.5" customHeight="1" thickBot="1" x14ac:dyDescent="0.25">
      <c r="A15" s="123"/>
      <c r="B15" s="72" t="s">
        <v>30</v>
      </c>
      <c r="C15" s="69" t="s">
        <v>59</v>
      </c>
      <c r="D15" s="91">
        <v>45021</v>
      </c>
      <c r="E15" s="91">
        <v>45021</v>
      </c>
      <c r="F15" s="83" t="s">
        <v>123</v>
      </c>
      <c r="G15" s="73" t="s">
        <v>129</v>
      </c>
      <c r="H15" s="40" t="s">
        <v>71</v>
      </c>
      <c r="I15" s="75">
        <v>1</v>
      </c>
      <c r="J15" s="43">
        <v>0.5</v>
      </c>
      <c r="K15" s="43">
        <v>0</v>
      </c>
      <c r="L15" s="88">
        <v>0</v>
      </c>
    </row>
    <row r="16" spans="1:12" ht="42" customHeight="1" thickBot="1" x14ac:dyDescent="0.25">
      <c r="A16" s="123"/>
      <c r="B16" s="72" t="s">
        <v>31</v>
      </c>
      <c r="C16" s="69" t="s">
        <v>60</v>
      </c>
      <c r="D16" s="91">
        <v>45023</v>
      </c>
      <c r="E16" s="91">
        <v>45023</v>
      </c>
      <c r="F16" s="74">
        <v>1320362</v>
      </c>
      <c r="G16" s="73" t="s">
        <v>129</v>
      </c>
      <c r="H16" s="40" t="s">
        <v>71</v>
      </c>
      <c r="I16" s="75">
        <v>2</v>
      </c>
      <c r="J16" s="43">
        <v>0</v>
      </c>
      <c r="K16" s="43">
        <v>0</v>
      </c>
      <c r="L16" s="88">
        <v>0</v>
      </c>
    </row>
    <row r="17" spans="1:12" ht="39.75" customHeight="1" thickBot="1" x14ac:dyDescent="0.25">
      <c r="A17" s="123"/>
      <c r="B17" s="72" t="s">
        <v>32</v>
      </c>
      <c r="C17" s="69" t="s">
        <v>61</v>
      </c>
      <c r="D17" s="91">
        <v>45022</v>
      </c>
      <c r="E17" s="91">
        <v>45022</v>
      </c>
      <c r="F17" s="83" t="s">
        <v>123</v>
      </c>
      <c r="G17" s="73" t="s">
        <v>129</v>
      </c>
      <c r="H17" s="40" t="s">
        <v>71</v>
      </c>
      <c r="I17" s="75">
        <v>3</v>
      </c>
      <c r="J17" s="43">
        <v>1</v>
      </c>
      <c r="K17" s="43">
        <v>0</v>
      </c>
      <c r="L17" s="88">
        <v>0</v>
      </c>
    </row>
    <row r="18" spans="1:12" ht="26.25" customHeight="1" thickBot="1" x14ac:dyDescent="0.25">
      <c r="A18" s="123"/>
      <c r="B18" s="89" t="s">
        <v>53</v>
      </c>
      <c r="C18" s="90" t="s">
        <v>62</v>
      </c>
      <c r="D18" s="91">
        <v>45027</v>
      </c>
      <c r="E18" s="91">
        <v>45027</v>
      </c>
      <c r="F18" s="74" t="s">
        <v>126</v>
      </c>
      <c r="G18" s="73" t="s">
        <v>132</v>
      </c>
      <c r="H18" s="40" t="s">
        <v>71</v>
      </c>
      <c r="I18" s="75">
        <v>6</v>
      </c>
      <c r="J18" s="43">
        <v>4</v>
      </c>
      <c r="K18" s="43">
        <v>2</v>
      </c>
      <c r="L18" s="88">
        <v>0</v>
      </c>
    </row>
    <row r="19" spans="1:12" ht="23.25" customHeight="1" thickBot="1" x14ac:dyDescent="0.25">
      <c r="A19" s="124"/>
      <c r="B19" s="89"/>
      <c r="C19" s="57"/>
      <c r="D19" s="91"/>
      <c r="E19" s="91"/>
      <c r="F19" s="92"/>
      <c r="G19" s="91"/>
      <c r="H19" s="58"/>
      <c r="I19" s="93"/>
      <c r="J19" s="59"/>
      <c r="K19" s="59"/>
      <c r="L19" s="94"/>
    </row>
    <row r="20" spans="1:12" ht="24" customHeight="1" thickBot="1" x14ac:dyDescent="0.25">
      <c r="A20" s="122" t="s">
        <v>81</v>
      </c>
      <c r="B20" s="80" t="s">
        <v>27</v>
      </c>
      <c r="C20" s="81" t="s">
        <v>56</v>
      </c>
      <c r="D20" s="91">
        <v>45021</v>
      </c>
      <c r="E20" s="91">
        <v>45021</v>
      </c>
      <c r="F20" s="74">
        <v>1320362</v>
      </c>
      <c r="G20" s="82" t="s">
        <v>129</v>
      </c>
      <c r="H20" s="84" t="s">
        <v>71</v>
      </c>
      <c r="I20" s="85">
        <v>2</v>
      </c>
      <c r="J20" s="86">
        <v>1</v>
      </c>
      <c r="K20" s="86">
        <v>0</v>
      </c>
      <c r="L20" s="87">
        <v>0</v>
      </c>
    </row>
    <row r="21" spans="1:12" ht="24" customHeight="1" thickBot="1" x14ac:dyDescent="0.25">
      <c r="A21" s="123"/>
      <c r="B21" s="72" t="s">
        <v>28</v>
      </c>
      <c r="C21" s="69" t="s">
        <v>57</v>
      </c>
      <c r="D21" s="91">
        <v>45027</v>
      </c>
      <c r="E21" s="91">
        <v>45027</v>
      </c>
      <c r="F21" s="83" t="s">
        <v>123</v>
      </c>
      <c r="G21" s="73" t="s">
        <v>130</v>
      </c>
      <c r="H21" s="40" t="s">
        <v>71</v>
      </c>
      <c r="I21" s="75">
        <v>2.5</v>
      </c>
      <c r="J21" s="43">
        <v>1.5</v>
      </c>
      <c r="K21" s="43">
        <v>0</v>
      </c>
      <c r="L21" s="88">
        <v>0</v>
      </c>
    </row>
    <row r="22" spans="1:12" ht="24" customHeight="1" thickBot="1" x14ac:dyDescent="0.25">
      <c r="A22" s="123"/>
      <c r="B22" s="72" t="s">
        <v>29</v>
      </c>
      <c r="C22" s="69" t="s">
        <v>58</v>
      </c>
      <c r="D22" s="91">
        <v>45026</v>
      </c>
      <c r="E22" s="91">
        <v>45026</v>
      </c>
      <c r="F22" s="74">
        <v>1320352</v>
      </c>
      <c r="G22" s="73" t="s">
        <v>131</v>
      </c>
      <c r="H22" s="40" t="s">
        <v>71</v>
      </c>
      <c r="I22" s="75">
        <v>5</v>
      </c>
      <c r="J22" s="43">
        <v>3</v>
      </c>
      <c r="K22" s="43">
        <v>1</v>
      </c>
      <c r="L22" s="88">
        <v>0</v>
      </c>
    </row>
    <row r="23" spans="1:12" ht="24" customHeight="1" thickBot="1" x14ac:dyDescent="0.25">
      <c r="A23" s="123"/>
      <c r="B23" s="72" t="s">
        <v>30</v>
      </c>
      <c r="C23" s="69" t="s">
        <v>59</v>
      </c>
      <c r="D23" s="91">
        <v>45021</v>
      </c>
      <c r="E23" s="91">
        <v>45021</v>
      </c>
      <c r="F23" s="74" t="s">
        <v>128</v>
      </c>
      <c r="G23" s="73" t="s">
        <v>129</v>
      </c>
      <c r="H23" s="40" t="s">
        <v>71</v>
      </c>
      <c r="I23" s="75">
        <v>2</v>
      </c>
      <c r="J23" s="43">
        <v>1.5</v>
      </c>
      <c r="K23" s="43">
        <v>0.5</v>
      </c>
      <c r="L23" s="88">
        <v>0</v>
      </c>
    </row>
    <row r="24" spans="1:12" ht="24" customHeight="1" thickBot="1" x14ac:dyDescent="0.25">
      <c r="A24" s="123"/>
      <c r="B24" s="72" t="s">
        <v>31</v>
      </c>
      <c r="C24" s="69" t="s">
        <v>60</v>
      </c>
      <c r="D24" s="91">
        <v>45023</v>
      </c>
      <c r="E24" s="91">
        <v>45023</v>
      </c>
      <c r="F24" s="74" t="s">
        <v>126</v>
      </c>
      <c r="G24" s="73" t="s">
        <v>129</v>
      </c>
      <c r="H24" s="40" t="s">
        <v>71</v>
      </c>
      <c r="I24" s="75">
        <v>2</v>
      </c>
      <c r="J24" s="43">
        <v>1</v>
      </c>
      <c r="K24" s="43">
        <v>0</v>
      </c>
      <c r="L24" s="88">
        <v>0</v>
      </c>
    </row>
    <row r="25" spans="1:12" ht="24" customHeight="1" thickBot="1" x14ac:dyDescent="0.25">
      <c r="A25" s="123"/>
      <c r="B25" s="72" t="s">
        <v>32</v>
      </c>
      <c r="C25" s="69" t="s">
        <v>61</v>
      </c>
      <c r="D25" s="91">
        <v>45022</v>
      </c>
      <c r="E25" s="91">
        <v>45022</v>
      </c>
      <c r="F25" s="74" t="s">
        <v>125</v>
      </c>
      <c r="G25" s="73" t="s">
        <v>129</v>
      </c>
      <c r="H25" s="40" t="s">
        <v>71</v>
      </c>
      <c r="I25" s="75">
        <v>2</v>
      </c>
      <c r="J25" s="43">
        <v>1</v>
      </c>
      <c r="K25" s="43">
        <v>0</v>
      </c>
      <c r="L25" s="88">
        <v>0</v>
      </c>
    </row>
    <row r="26" spans="1:12" ht="29.25" customHeight="1" thickBot="1" x14ac:dyDescent="0.25">
      <c r="A26" s="123"/>
      <c r="B26" s="89" t="s">
        <v>53</v>
      </c>
      <c r="C26" s="90" t="s">
        <v>62</v>
      </c>
      <c r="D26" s="91">
        <v>45027</v>
      </c>
      <c r="E26" s="91">
        <v>45027</v>
      </c>
      <c r="F26" s="83" t="s">
        <v>123</v>
      </c>
      <c r="G26" s="73" t="s">
        <v>132</v>
      </c>
      <c r="H26" s="40" t="s">
        <v>71</v>
      </c>
      <c r="I26" s="75">
        <v>3</v>
      </c>
      <c r="J26" s="43">
        <v>2</v>
      </c>
      <c r="K26" s="43">
        <v>1</v>
      </c>
      <c r="L26" s="88">
        <v>0</v>
      </c>
    </row>
    <row r="27" spans="1:12" ht="20.25" customHeight="1" thickBot="1" x14ac:dyDescent="0.25">
      <c r="A27" s="124"/>
      <c r="B27" s="89"/>
      <c r="C27" s="57"/>
      <c r="D27" s="91"/>
      <c r="E27" s="91"/>
      <c r="F27" s="92"/>
      <c r="G27" s="91"/>
      <c r="H27" s="58"/>
      <c r="I27" s="93"/>
      <c r="J27" s="59"/>
      <c r="K27" s="59"/>
      <c r="L27" s="94"/>
    </row>
    <row r="28" spans="1:12" ht="32.25" customHeight="1" thickBot="1" x14ac:dyDescent="0.25">
      <c r="A28" s="122" t="s">
        <v>82</v>
      </c>
      <c r="B28" s="80" t="s">
        <v>27</v>
      </c>
      <c r="C28" s="81" t="s">
        <v>56</v>
      </c>
      <c r="D28" s="91">
        <v>45021</v>
      </c>
      <c r="E28" s="91">
        <v>45021</v>
      </c>
      <c r="F28" s="74">
        <v>1320362</v>
      </c>
      <c r="G28" s="82" t="s">
        <v>129</v>
      </c>
      <c r="H28" s="84" t="s">
        <v>71</v>
      </c>
      <c r="I28" s="85">
        <v>6</v>
      </c>
      <c r="J28" s="86">
        <v>2</v>
      </c>
      <c r="K28" s="86">
        <v>0</v>
      </c>
      <c r="L28" s="87">
        <v>0</v>
      </c>
    </row>
    <row r="29" spans="1:12" ht="36.75" customHeight="1" thickBot="1" x14ac:dyDescent="0.25">
      <c r="A29" s="123"/>
      <c r="B29" s="72" t="s">
        <v>28</v>
      </c>
      <c r="C29" s="69" t="s">
        <v>57</v>
      </c>
      <c r="D29" s="91">
        <v>45027</v>
      </c>
      <c r="E29" s="91">
        <v>45027</v>
      </c>
      <c r="F29" s="83" t="s">
        <v>127</v>
      </c>
      <c r="G29" s="73" t="s">
        <v>130</v>
      </c>
      <c r="H29" s="40" t="s">
        <v>71</v>
      </c>
      <c r="I29" s="75">
        <v>1</v>
      </c>
      <c r="J29" s="43">
        <v>0.5</v>
      </c>
      <c r="K29" s="43">
        <v>0</v>
      </c>
      <c r="L29" s="88">
        <v>0</v>
      </c>
    </row>
    <row r="30" spans="1:12" ht="33.75" customHeight="1" thickBot="1" x14ac:dyDescent="0.25">
      <c r="A30" s="123"/>
      <c r="B30" s="72" t="s">
        <v>29</v>
      </c>
      <c r="C30" s="69" t="s">
        <v>58</v>
      </c>
      <c r="D30" s="91">
        <v>45026</v>
      </c>
      <c r="E30" s="91">
        <v>45026</v>
      </c>
      <c r="F30" s="74" t="s">
        <v>126</v>
      </c>
      <c r="G30" s="73" t="s">
        <v>131</v>
      </c>
      <c r="H30" s="40" t="s">
        <v>71</v>
      </c>
      <c r="I30" s="75">
        <v>2</v>
      </c>
      <c r="J30" s="43">
        <v>1</v>
      </c>
      <c r="K30" s="43">
        <v>0</v>
      </c>
      <c r="L30" s="88">
        <v>0</v>
      </c>
    </row>
    <row r="31" spans="1:12" ht="27" customHeight="1" thickBot="1" x14ac:dyDescent="0.25">
      <c r="A31" s="123"/>
      <c r="B31" s="72" t="s">
        <v>30</v>
      </c>
      <c r="C31" s="69" t="s">
        <v>59</v>
      </c>
      <c r="D31" s="91">
        <v>45021</v>
      </c>
      <c r="E31" s="91">
        <v>45021</v>
      </c>
      <c r="F31" s="74">
        <v>1320362</v>
      </c>
      <c r="G31" s="73" t="s">
        <v>129</v>
      </c>
      <c r="H31" s="40" t="s">
        <v>71</v>
      </c>
      <c r="I31" s="75">
        <v>2</v>
      </c>
      <c r="J31" s="43">
        <v>1</v>
      </c>
      <c r="K31" s="43">
        <v>0</v>
      </c>
      <c r="L31" s="88">
        <v>0</v>
      </c>
    </row>
    <row r="32" spans="1:12" ht="29.25" customHeight="1" thickBot="1" x14ac:dyDescent="0.25">
      <c r="A32" s="123"/>
      <c r="B32" s="72" t="s">
        <v>31</v>
      </c>
      <c r="C32" s="69" t="s">
        <v>60</v>
      </c>
      <c r="D32" s="91">
        <v>45023</v>
      </c>
      <c r="E32" s="91">
        <v>45023</v>
      </c>
      <c r="F32" s="74">
        <v>1320352</v>
      </c>
      <c r="G32" s="73" t="s">
        <v>129</v>
      </c>
      <c r="H32" s="40" t="s">
        <v>71</v>
      </c>
      <c r="I32" s="75">
        <v>2</v>
      </c>
      <c r="J32" s="43">
        <v>1</v>
      </c>
      <c r="K32" s="43">
        <v>0</v>
      </c>
      <c r="L32" s="88">
        <v>0</v>
      </c>
    </row>
    <row r="33" spans="1:12" ht="30.75" customHeight="1" thickBot="1" x14ac:dyDescent="0.25">
      <c r="A33" s="123"/>
      <c r="B33" s="72" t="s">
        <v>32</v>
      </c>
      <c r="C33" s="69" t="s">
        <v>61</v>
      </c>
      <c r="D33" s="91">
        <v>45022</v>
      </c>
      <c r="E33" s="91">
        <v>45022</v>
      </c>
      <c r="F33" s="74" t="s">
        <v>126</v>
      </c>
      <c r="G33" s="73" t="s">
        <v>129</v>
      </c>
      <c r="H33" s="40" t="s">
        <v>71</v>
      </c>
      <c r="I33" s="75">
        <v>5</v>
      </c>
      <c r="J33" s="43">
        <v>3</v>
      </c>
      <c r="K33" s="43">
        <v>0</v>
      </c>
      <c r="L33" s="88">
        <v>0</v>
      </c>
    </row>
    <row r="34" spans="1:12" ht="21.75" customHeight="1" thickBot="1" x14ac:dyDescent="0.25">
      <c r="A34" s="123"/>
      <c r="B34" s="89" t="s">
        <v>53</v>
      </c>
      <c r="C34" s="90" t="s">
        <v>62</v>
      </c>
      <c r="D34" s="91">
        <v>45027</v>
      </c>
      <c r="E34" s="91">
        <v>45027</v>
      </c>
      <c r="F34" s="83" t="s">
        <v>123</v>
      </c>
      <c r="G34" s="73" t="s">
        <v>132</v>
      </c>
      <c r="H34" s="40" t="s">
        <v>71</v>
      </c>
      <c r="I34" s="75">
        <v>2</v>
      </c>
      <c r="J34" s="43">
        <v>1.5</v>
      </c>
      <c r="K34" s="43">
        <v>0</v>
      </c>
      <c r="L34" s="88">
        <v>0</v>
      </c>
    </row>
    <row r="35" spans="1:12" ht="21.75" customHeight="1" thickBot="1" x14ac:dyDescent="0.25">
      <c r="A35" s="124"/>
      <c r="B35" s="89"/>
      <c r="C35" s="57"/>
      <c r="D35" s="91"/>
      <c r="E35" s="91"/>
      <c r="F35" s="61"/>
      <c r="G35" s="91"/>
      <c r="H35" s="58"/>
      <c r="I35" s="93"/>
      <c r="J35" s="59"/>
      <c r="K35" s="59"/>
      <c r="L35" s="94"/>
    </row>
    <row r="36" spans="1:12" ht="21.75" customHeight="1" thickBot="1" x14ac:dyDescent="0.25">
      <c r="A36" s="133"/>
      <c r="B36" s="80"/>
      <c r="C36" s="81"/>
      <c r="D36" s="91"/>
      <c r="E36" s="91"/>
      <c r="F36" s="60"/>
      <c r="G36" s="79"/>
      <c r="H36" s="56"/>
      <c r="I36" s="41"/>
      <c r="J36" s="42"/>
      <c r="K36" s="42"/>
      <c r="L36" s="42"/>
    </row>
    <row r="37" spans="1:12" ht="21.75" customHeight="1" thickBot="1" x14ac:dyDescent="0.25">
      <c r="A37" s="134"/>
      <c r="B37" s="72"/>
      <c r="C37" s="69"/>
      <c r="D37" s="91"/>
      <c r="E37" s="91"/>
      <c r="F37" s="74"/>
      <c r="G37" s="73"/>
      <c r="H37" s="40"/>
      <c r="I37" s="75"/>
      <c r="J37" s="43"/>
      <c r="K37" s="43"/>
      <c r="L37" s="43"/>
    </row>
    <row r="38" spans="1:12" ht="21" customHeight="1" thickBot="1" x14ac:dyDescent="0.25">
      <c r="A38" s="134"/>
      <c r="B38" s="72"/>
      <c r="C38" s="69"/>
      <c r="D38" s="91"/>
      <c r="E38" s="91"/>
      <c r="F38" s="74"/>
      <c r="G38" s="73"/>
      <c r="H38" s="40"/>
      <c r="I38" s="75"/>
      <c r="J38" s="43"/>
      <c r="K38" s="43"/>
      <c r="L38" s="43"/>
    </row>
    <row r="39" spans="1:12" ht="19.5" customHeight="1" thickBot="1" x14ac:dyDescent="0.25">
      <c r="A39" s="134"/>
      <c r="B39" s="72"/>
      <c r="C39" s="69"/>
      <c r="D39" s="91"/>
      <c r="E39" s="91"/>
      <c r="F39" s="74"/>
      <c r="G39" s="73"/>
      <c r="H39" s="40"/>
      <c r="I39" s="75"/>
      <c r="J39" s="43"/>
      <c r="K39" s="43"/>
      <c r="L39" s="43"/>
    </row>
    <row r="40" spans="1:12" ht="17.25" customHeight="1" thickBot="1" x14ac:dyDescent="0.25">
      <c r="A40" s="134"/>
      <c r="B40" s="72"/>
      <c r="C40" s="69"/>
      <c r="D40" s="91"/>
      <c r="E40" s="91"/>
      <c r="F40" s="74"/>
      <c r="G40" s="73"/>
      <c r="H40" s="40"/>
      <c r="I40" s="75"/>
      <c r="J40" s="43"/>
      <c r="K40" s="43"/>
      <c r="L40" s="43"/>
    </row>
    <row r="41" spans="1:12" ht="17.25" customHeight="1" thickBot="1" x14ac:dyDescent="0.25">
      <c r="A41" s="134"/>
      <c r="B41" s="72"/>
      <c r="C41" s="69"/>
      <c r="D41" s="91"/>
      <c r="E41" s="91"/>
      <c r="F41" s="74"/>
      <c r="G41" s="73"/>
      <c r="H41" s="40"/>
      <c r="I41" s="75"/>
      <c r="J41" s="43"/>
      <c r="K41" s="43"/>
      <c r="L41" s="43"/>
    </row>
    <row r="42" spans="1:12" ht="17.25" customHeight="1" thickBot="1" x14ac:dyDescent="0.25">
      <c r="A42" s="135"/>
      <c r="B42" s="89"/>
      <c r="C42" s="90"/>
      <c r="D42" s="91"/>
      <c r="E42" s="91"/>
      <c r="F42" s="74"/>
      <c r="G42" s="73"/>
      <c r="H42" s="40"/>
      <c r="I42" s="75"/>
      <c r="J42" s="43"/>
      <c r="K42" s="43"/>
      <c r="L42" s="43"/>
    </row>
    <row r="43" spans="1:12" ht="17.25" customHeight="1" thickBot="1" x14ac:dyDescent="0.25">
      <c r="A43" s="76"/>
      <c r="B43" s="72"/>
      <c r="C43" s="44"/>
      <c r="D43" s="73"/>
      <c r="E43" s="73"/>
      <c r="F43" s="74"/>
      <c r="G43" s="73"/>
      <c r="H43" s="40"/>
      <c r="I43" s="75"/>
      <c r="J43" s="43"/>
      <c r="K43" s="43"/>
      <c r="L43" s="43"/>
    </row>
    <row r="44" spans="1:12" ht="17.25" customHeight="1" thickBot="1" x14ac:dyDescent="0.25">
      <c r="A44" s="136"/>
      <c r="B44" s="80"/>
      <c r="C44" s="81"/>
      <c r="D44" s="91"/>
      <c r="E44" s="91"/>
      <c r="F44" s="74"/>
      <c r="G44" s="73"/>
      <c r="H44" s="40"/>
      <c r="I44" s="75"/>
      <c r="J44" s="43"/>
      <c r="K44" s="43"/>
      <c r="L44" s="43"/>
    </row>
    <row r="45" spans="1:12" ht="25.5" customHeight="1" thickBot="1" x14ac:dyDescent="0.25">
      <c r="A45" s="134"/>
      <c r="B45" s="72"/>
      <c r="C45" s="69"/>
      <c r="D45" s="91"/>
      <c r="E45" s="91"/>
      <c r="F45" s="74"/>
      <c r="G45" s="73"/>
      <c r="H45" s="40"/>
      <c r="I45" s="75"/>
      <c r="J45" s="43"/>
      <c r="K45" s="43"/>
      <c r="L45" s="43"/>
    </row>
    <row r="46" spans="1:12" ht="18.75" customHeight="1" thickBot="1" x14ac:dyDescent="0.25">
      <c r="A46" s="134"/>
      <c r="B46" s="72"/>
      <c r="C46" s="69"/>
      <c r="D46" s="91"/>
      <c r="E46" s="91"/>
      <c r="F46" s="74"/>
      <c r="G46" s="73"/>
      <c r="H46" s="40"/>
      <c r="I46" s="75"/>
      <c r="J46" s="43"/>
      <c r="K46" s="43"/>
      <c r="L46" s="43"/>
    </row>
    <row r="47" spans="1:12" ht="19.5" customHeight="1" thickBot="1" x14ac:dyDescent="0.25">
      <c r="A47" s="134"/>
      <c r="B47" s="72"/>
      <c r="C47" s="69"/>
      <c r="D47" s="91"/>
      <c r="E47" s="91"/>
      <c r="F47" s="74"/>
      <c r="G47" s="73"/>
      <c r="H47" s="40"/>
      <c r="I47" s="75"/>
      <c r="J47" s="43"/>
      <c r="K47" s="43"/>
      <c r="L47" s="43"/>
    </row>
    <row r="48" spans="1:12" ht="19.5" customHeight="1" thickBot="1" x14ac:dyDescent="0.25">
      <c r="A48" s="134"/>
      <c r="B48" s="72"/>
      <c r="C48" s="69"/>
      <c r="D48" s="91"/>
      <c r="E48" s="91"/>
      <c r="F48" s="74"/>
      <c r="G48" s="73"/>
      <c r="H48" s="40"/>
      <c r="I48" s="75"/>
      <c r="J48" s="43"/>
      <c r="K48" s="43"/>
      <c r="L48" s="43"/>
    </row>
    <row r="49" spans="1:12" ht="19.5" customHeight="1" thickBot="1" x14ac:dyDescent="0.25">
      <c r="A49" s="134"/>
      <c r="B49" s="72"/>
      <c r="C49" s="69"/>
      <c r="D49" s="91"/>
      <c r="E49" s="91"/>
      <c r="F49" s="74"/>
      <c r="G49" s="73"/>
      <c r="H49" s="40"/>
      <c r="I49" s="75"/>
      <c r="J49" s="43"/>
      <c r="K49" s="43"/>
      <c r="L49" s="43"/>
    </row>
    <row r="50" spans="1:12" ht="19.5" customHeight="1" thickBot="1" x14ac:dyDescent="0.25">
      <c r="A50" s="135"/>
      <c r="B50" s="89"/>
      <c r="C50" s="90"/>
      <c r="D50" s="91"/>
      <c r="E50" s="91"/>
      <c r="F50" s="74"/>
      <c r="G50" s="73"/>
      <c r="H50" s="40"/>
      <c r="I50" s="75"/>
      <c r="J50" s="43"/>
      <c r="K50" s="43"/>
      <c r="L50" s="43"/>
    </row>
    <row r="51" spans="1:12" ht="19.5" customHeight="1" thickBot="1" x14ac:dyDescent="0.25">
      <c r="A51" s="76"/>
      <c r="B51" s="72"/>
      <c r="C51" s="44"/>
      <c r="D51" s="73"/>
      <c r="E51" s="73"/>
      <c r="F51" s="74"/>
      <c r="G51" s="73"/>
      <c r="H51" s="40"/>
      <c r="I51" s="75"/>
      <c r="J51" s="43"/>
      <c r="K51" s="43"/>
      <c r="L51" s="43"/>
    </row>
    <row r="52" spans="1:12" ht="20.25" customHeight="1" thickBot="1" x14ac:dyDescent="0.25">
      <c r="A52" s="136"/>
      <c r="B52" s="80"/>
      <c r="C52" s="81"/>
      <c r="D52" s="91"/>
      <c r="E52" s="91"/>
      <c r="F52" s="74"/>
      <c r="G52" s="73"/>
      <c r="H52" s="40"/>
      <c r="I52" s="75"/>
      <c r="J52" s="43"/>
      <c r="K52" s="43"/>
      <c r="L52" s="43"/>
    </row>
    <row r="53" spans="1:12" ht="18" customHeight="1" thickBot="1" x14ac:dyDescent="0.25">
      <c r="A53" s="134"/>
      <c r="B53" s="72"/>
      <c r="C53" s="69"/>
      <c r="D53" s="91"/>
      <c r="E53" s="91"/>
      <c r="F53" s="74"/>
      <c r="G53" s="73"/>
      <c r="H53" s="40"/>
      <c r="I53" s="75"/>
      <c r="J53" s="43"/>
      <c r="K53" s="43"/>
      <c r="L53" s="43"/>
    </row>
    <row r="54" spans="1:12" ht="17.25" customHeight="1" thickBot="1" x14ac:dyDescent="0.25">
      <c r="A54" s="134"/>
      <c r="B54" s="72"/>
      <c r="C54" s="69"/>
      <c r="D54" s="91"/>
      <c r="E54" s="91"/>
      <c r="F54" s="74"/>
      <c r="G54" s="73"/>
      <c r="H54" s="40"/>
      <c r="I54" s="75"/>
      <c r="J54" s="43"/>
      <c r="K54" s="43"/>
      <c r="L54" s="43"/>
    </row>
    <row r="55" spans="1:12" ht="17.25" customHeight="1" thickBot="1" x14ac:dyDescent="0.25">
      <c r="A55" s="134"/>
      <c r="B55" s="72"/>
      <c r="C55" s="69"/>
      <c r="D55" s="91"/>
      <c r="E55" s="91"/>
      <c r="F55" s="74"/>
      <c r="G55" s="73"/>
      <c r="H55" s="40"/>
      <c r="I55" s="75"/>
      <c r="J55" s="43"/>
      <c r="K55" s="43"/>
      <c r="L55" s="43"/>
    </row>
    <row r="56" spans="1:12" ht="17.25" customHeight="1" thickBot="1" x14ac:dyDescent="0.25">
      <c r="A56" s="134"/>
      <c r="B56" s="72"/>
      <c r="C56" s="69"/>
      <c r="D56" s="91"/>
      <c r="E56" s="91"/>
      <c r="F56" s="74"/>
      <c r="G56" s="73"/>
      <c r="H56" s="40"/>
      <c r="I56" s="75"/>
      <c r="J56" s="43"/>
      <c r="K56" s="43"/>
      <c r="L56" s="43"/>
    </row>
    <row r="57" spans="1:12" ht="17.25" customHeight="1" thickBot="1" x14ac:dyDescent="0.25">
      <c r="A57" s="134"/>
      <c r="B57" s="72"/>
      <c r="C57" s="69"/>
      <c r="D57" s="91"/>
      <c r="E57" s="91"/>
      <c r="F57" s="74"/>
      <c r="G57" s="73"/>
      <c r="H57" s="40"/>
      <c r="I57" s="75"/>
      <c r="J57" s="43"/>
      <c r="K57" s="43"/>
      <c r="L57" s="43"/>
    </row>
    <row r="58" spans="1:12" ht="17.25" customHeight="1" thickBot="1" x14ac:dyDescent="0.25">
      <c r="A58" s="135"/>
      <c r="B58" s="89"/>
      <c r="C58" s="90"/>
      <c r="D58" s="91"/>
      <c r="E58" s="91"/>
      <c r="F58" s="74"/>
      <c r="G58" s="73"/>
      <c r="H58" s="40"/>
      <c r="I58" s="75"/>
      <c r="J58" s="43"/>
      <c r="K58" s="43"/>
      <c r="L58" s="43"/>
    </row>
    <row r="59" spans="1:12" ht="18.75" customHeight="1" thickBot="1" x14ac:dyDescent="0.25">
      <c r="A59" s="76"/>
      <c r="B59" s="72"/>
      <c r="C59" s="44"/>
      <c r="D59" s="73"/>
      <c r="E59" s="73"/>
      <c r="F59" s="74"/>
      <c r="G59" s="73"/>
      <c r="H59" s="40"/>
      <c r="I59" s="75"/>
      <c r="J59" s="43"/>
      <c r="K59" s="43"/>
      <c r="L59" s="43"/>
    </row>
    <row r="60" spans="1:12" ht="18.75" customHeight="1" thickBot="1" x14ac:dyDescent="0.25">
      <c r="A60" s="136"/>
      <c r="B60" s="80"/>
      <c r="C60" s="81"/>
      <c r="D60" s="91"/>
      <c r="E60" s="91"/>
      <c r="F60" s="74"/>
      <c r="G60" s="73"/>
      <c r="H60" s="40"/>
      <c r="I60" s="75"/>
      <c r="J60" s="43"/>
      <c r="K60" s="43"/>
      <c r="L60" s="43"/>
    </row>
    <row r="61" spans="1:12" ht="18.75" customHeight="1" thickBot="1" x14ac:dyDescent="0.25">
      <c r="A61" s="134"/>
      <c r="B61" s="72"/>
      <c r="C61" s="69"/>
      <c r="D61" s="91"/>
      <c r="E61" s="91"/>
      <c r="F61" s="74"/>
      <c r="G61" s="73"/>
      <c r="H61" s="40"/>
      <c r="I61" s="75"/>
      <c r="J61" s="43"/>
      <c r="K61" s="43"/>
      <c r="L61" s="43"/>
    </row>
    <row r="62" spans="1:12" ht="18.75" customHeight="1" thickBot="1" x14ac:dyDescent="0.25">
      <c r="A62" s="134"/>
      <c r="B62" s="72"/>
      <c r="C62" s="69"/>
      <c r="D62" s="91"/>
      <c r="E62" s="91"/>
      <c r="F62" s="74"/>
      <c r="G62" s="73"/>
      <c r="H62" s="40"/>
      <c r="I62" s="75"/>
      <c r="J62" s="43"/>
      <c r="K62" s="43"/>
      <c r="L62" s="43"/>
    </row>
    <row r="63" spans="1:12" ht="18.75" customHeight="1" thickBot="1" x14ac:dyDescent="0.25">
      <c r="A63" s="134"/>
      <c r="B63" s="72"/>
      <c r="C63" s="69"/>
      <c r="D63" s="91"/>
      <c r="E63" s="91"/>
      <c r="F63" s="74"/>
      <c r="G63" s="73"/>
      <c r="H63" s="40"/>
      <c r="I63" s="75"/>
      <c r="J63" s="43"/>
      <c r="K63" s="43"/>
      <c r="L63" s="43"/>
    </row>
    <row r="64" spans="1:12" ht="18" customHeight="1" thickBot="1" x14ac:dyDescent="0.25">
      <c r="A64" s="134"/>
      <c r="B64" s="72"/>
      <c r="C64" s="69"/>
      <c r="D64" s="91"/>
      <c r="E64" s="91"/>
      <c r="F64" s="74"/>
      <c r="G64" s="73"/>
      <c r="H64" s="40"/>
      <c r="I64" s="75"/>
      <c r="J64" s="43"/>
      <c r="K64" s="43"/>
      <c r="L64" s="43"/>
    </row>
    <row r="65" spans="1:12" ht="18" customHeight="1" thickBot="1" x14ac:dyDescent="0.25">
      <c r="A65" s="134"/>
      <c r="B65" s="72"/>
      <c r="C65" s="69"/>
      <c r="D65" s="91"/>
      <c r="E65" s="91"/>
      <c r="F65" s="73"/>
      <c r="G65" s="73"/>
      <c r="H65" s="73"/>
      <c r="I65" s="43"/>
      <c r="J65" s="43"/>
      <c r="K65" s="43"/>
      <c r="L65" s="77"/>
    </row>
    <row r="66" spans="1:12" ht="24" customHeight="1" thickBot="1" x14ac:dyDescent="0.25">
      <c r="A66" s="135"/>
      <c r="B66" s="89"/>
      <c r="C66" s="90"/>
      <c r="D66" s="91"/>
      <c r="E66" s="91"/>
      <c r="F66" s="78"/>
      <c r="G66" s="77"/>
      <c r="H66" s="77"/>
      <c r="I66" s="77"/>
      <c r="J66" s="77"/>
      <c r="K66" s="77"/>
      <c r="L66" s="77"/>
    </row>
    <row r="67" spans="1:12" ht="24" customHeight="1" x14ac:dyDescent="0.2">
      <c r="A67" s="45"/>
    </row>
    <row r="69" spans="1:12" ht="53.25" customHeight="1" x14ac:dyDescent="0.2"/>
    <row r="70" spans="1:12" ht="42" customHeight="1" x14ac:dyDescent="0.2"/>
    <row r="71" spans="1:12" ht="42" customHeight="1" x14ac:dyDescent="0.2"/>
    <row r="72" spans="1:12" ht="21.75" customHeight="1" x14ac:dyDescent="0.2"/>
    <row r="73" spans="1:12" ht="18.75" customHeight="1" x14ac:dyDescent="0.2"/>
    <row r="74" spans="1:12" ht="21.75" customHeight="1" x14ac:dyDescent="0.2"/>
    <row r="75" spans="1:12" ht="18.75" customHeight="1" x14ac:dyDescent="0.2"/>
    <row r="76" spans="1:12" ht="18" customHeight="1" x14ac:dyDescent="0.2"/>
    <row r="77" spans="1:12" ht="21" customHeight="1" x14ac:dyDescent="0.2"/>
    <row r="78" spans="1:12" ht="16.5" customHeight="1" x14ac:dyDescent="0.2"/>
    <row r="79" spans="1:12" ht="19.5" customHeight="1" x14ac:dyDescent="0.2"/>
    <row r="80" spans="1:12" ht="19.5" customHeight="1" x14ac:dyDescent="0.2"/>
    <row r="81" ht="18.75" customHeight="1" x14ac:dyDescent="0.2"/>
    <row r="82" ht="11.25" customHeight="1" x14ac:dyDescent="0.2"/>
    <row r="83" ht="11.25" customHeight="1" x14ac:dyDescent="0.2"/>
    <row r="100" ht="17.25" customHeight="1" x14ac:dyDescent="0.2"/>
    <row r="101" ht="21" customHeight="1" x14ac:dyDescent="0.2"/>
    <row r="102" ht="21" customHeight="1" x14ac:dyDescent="0.2"/>
    <row r="103" ht="22.5" customHeight="1" x14ac:dyDescent="0.2"/>
  </sheetData>
  <mergeCells count="18">
    <mergeCell ref="A36:A42"/>
    <mergeCell ref="A44:A50"/>
    <mergeCell ref="A52:A58"/>
    <mergeCell ref="A60:A66"/>
    <mergeCell ref="A20:A27"/>
    <mergeCell ref="A28:A35"/>
    <mergeCell ref="A1:L1"/>
    <mergeCell ref="H2:H3"/>
    <mergeCell ref="A12:A19"/>
    <mergeCell ref="A5:A11"/>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102:H65532 H65" xr:uid="{00000000-0002-0000-0200-000003000000}">
      <formula1>Status</formula1>
    </dataValidation>
    <dataValidation type="list" allowBlank="1" showInputMessage="1" showErrorMessage="1" sqref="G102:G65532" xr:uid="{00000000-0002-0000-0200-000004000000}">
      <formula1>Category</formula1>
    </dataValidation>
    <dataValidation type="list" allowBlank="1" showInputMessage="1" showErrorMessage="1" sqref="F102:F65532" xr:uid="{00000000-0002-0000-0200-000005000000}">
      <formula1>Team</formula1>
    </dataValidation>
    <dataValidation type="list" allowBlank="1" showInputMessage="1" showErrorMessage="1" sqref="G5:G17" xr:uid="{00000000-0002-0000-0200-000001000000}">
      <formula1>"Build, Unit Test, System Test, Coding, General , Integration,Regression Testing"</formula1>
    </dataValidation>
    <dataValidation type="list" allowBlank="1" showInputMessage="1" showErrorMessage="1" sqref="G18:G65" xr:uid="{00000000-0002-0000-0200-000008000000}">
      <formula1>"Build, Unit Test, System Test, Coding, General , Integration"</formula1>
    </dataValidation>
    <dataValidation type="decimal" operator="lessThanOrEqual" allowBlank="1" showInputMessage="1" showErrorMessage="1" sqref="L5:L64 J5:K65" xr:uid="{00000000-0002-0000-0200-000002000000}">
      <formula1>I5</formula1>
    </dataValidation>
    <dataValidation type="decimal" allowBlank="1" showInputMessage="1" showErrorMessage="1" sqref="I5:I64" xr:uid="{00000000-0002-0000-0200-000006000000}">
      <formula1>0</formula1>
      <formula2>12</formula2>
    </dataValidation>
    <dataValidation type="list" allowBlank="1" showInputMessage="1" showErrorMessage="1" sqref="H5:H6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zoomScaleNormal="100" workbookViewId="0">
      <selection activeCell="L36" sqref="L36"/>
    </sheetView>
  </sheetViews>
  <sheetFormatPr defaultRowHeight="11.25" x14ac:dyDescent="0.2"/>
  <cols>
    <col min="1" max="1" width="10" style="38" customWidth="1"/>
    <col min="2" max="2" width="9.7109375" style="46" customWidth="1"/>
    <col min="3" max="3" width="41.28515625" style="47" customWidth="1"/>
    <col min="4" max="4" width="11.42578125" style="48" customWidth="1"/>
    <col min="5" max="5" width="11.42578125" style="49" customWidth="1"/>
    <col min="6" max="6" width="15.42578125" style="50" customWidth="1"/>
    <col min="7" max="7" width="17" style="38" customWidth="1"/>
    <col min="8" max="8" width="13.28515625" style="51" customWidth="1"/>
    <col min="9" max="9" width="9.28515625" style="51" customWidth="1"/>
    <col min="10" max="10" width="10.85546875" style="51" customWidth="1"/>
    <col min="11" max="11" width="10.28515625" style="38" customWidth="1"/>
    <col min="12" max="16384" width="9.140625" style="38"/>
  </cols>
  <sheetData>
    <row r="1" spans="1:15" ht="18.75" customHeight="1" thickBot="1" x14ac:dyDescent="0.25">
      <c r="A1" s="137"/>
      <c r="B1" s="138"/>
      <c r="C1" s="138"/>
      <c r="D1" s="138"/>
      <c r="E1" s="138"/>
      <c r="F1" s="138"/>
      <c r="G1" s="138"/>
      <c r="H1" s="138"/>
      <c r="I1" s="138"/>
      <c r="J1" s="138"/>
      <c r="K1" s="138"/>
      <c r="L1" s="138"/>
    </row>
    <row r="2" spans="1:15" s="39" customFormat="1" ht="46.5" customHeight="1" x14ac:dyDescent="0.2">
      <c r="A2" s="129" t="s">
        <v>1</v>
      </c>
      <c r="B2" s="140" t="s">
        <v>3</v>
      </c>
      <c r="C2" s="120" t="s">
        <v>2</v>
      </c>
      <c r="D2" s="120" t="s">
        <v>8</v>
      </c>
      <c r="E2" s="125" t="s">
        <v>7</v>
      </c>
      <c r="F2" s="120" t="s">
        <v>4</v>
      </c>
      <c r="G2" s="120" t="s">
        <v>5</v>
      </c>
      <c r="H2" s="120" t="s">
        <v>0</v>
      </c>
      <c r="I2" s="65" t="s">
        <v>33</v>
      </c>
      <c r="J2" s="66" t="s">
        <v>65</v>
      </c>
      <c r="K2" s="66" t="s">
        <v>66</v>
      </c>
      <c r="L2" s="66" t="s">
        <v>67</v>
      </c>
    </row>
    <row r="3" spans="1:15" s="39" customFormat="1" ht="30" customHeight="1" x14ac:dyDescent="0.2">
      <c r="A3" s="139"/>
      <c r="B3" s="141"/>
      <c r="C3" s="142"/>
      <c r="D3" s="142"/>
      <c r="E3" s="143"/>
      <c r="F3" s="142"/>
      <c r="G3" s="142"/>
      <c r="H3" s="142"/>
      <c r="I3" s="55">
        <f>SUM(I5:I799)</f>
        <v>66</v>
      </c>
      <c r="J3" s="55">
        <f>SUM(J5:J799)</f>
        <v>43.5</v>
      </c>
      <c r="K3" s="55">
        <f>SUM(K5:K799)</f>
        <v>14</v>
      </c>
      <c r="L3" s="55">
        <f>SUM(L5:L799)</f>
        <v>0</v>
      </c>
      <c r="M3"/>
    </row>
    <row r="4" spans="1:15" s="39" customFormat="1" ht="33.75" customHeight="1" thickBot="1" x14ac:dyDescent="0.25">
      <c r="A4" s="144" t="s">
        <v>54</v>
      </c>
      <c r="B4" s="145"/>
      <c r="C4" s="145"/>
      <c r="D4" s="145"/>
      <c r="E4" s="145"/>
      <c r="F4" s="145"/>
      <c r="G4" s="145"/>
      <c r="H4" s="145"/>
      <c r="I4" s="145"/>
      <c r="J4" s="145"/>
      <c r="K4" s="145"/>
      <c r="L4" s="146"/>
      <c r="M4"/>
    </row>
    <row r="5" spans="1:15" ht="24.75" customHeight="1" thickBot="1" x14ac:dyDescent="0.25">
      <c r="A5" s="122" t="s">
        <v>83</v>
      </c>
      <c r="B5" s="80" t="s">
        <v>27</v>
      </c>
      <c r="C5" s="81" t="s">
        <v>56</v>
      </c>
      <c r="D5" s="91">
        <v>45021</v>
      </c>
      <c r="E5" s="91">
        <v>45021</v>
      </c>
      <c r="F5" s="83">
        <v>1320363</v>
      </c>
      <c r="G5" s="82" t="s">
        <v>129</v>
      </c>
      <c r="H5" s="84" t="s">
        <v>71</v>
      </c>
      <c r="I5" s="85">
        <v>5</v>
      </c>
      <c r="J5" s="86">
        <v>2.5</v>
      </c>
      <c r="K5" s="86">
        <v>0</v>
      </c>
      <c r="L5" s="87">
        <v>0</v>
      </c>
      <c r="M5"/>
    </row>
    <row r="6" spans="1:15" ht="36" customHeight="1" thickBot="1" x14ac:dyDescent="0.25">
      <c r="A6" s="123"/>
      <c r="B6" s="72" t="s">
        <v>28</v>
      </c>
      <c r="C6" s="69" t="s">
        <v>57</v>
      </c>
      <c r="D6" s="91">
        <v>45027</v>
      </c>
      <c r="E6" s="91">
        <v>45027</v>
      </c>
      <c r="F6" s="74" t="s">
        <v>126</v>
      </c>
      <c r="G6" s="73" t="s">
        <v>130</v>
      </c>
      <c r="H6" s="40" t="s">
        <v>71</v>
      </c>
      <c r="I6" s="75">
        <v>1</v>
      </c>
      <c r="J6" s="43">
        <v>0.5</v>
      </c>
      <c r="K6" s="43">
        <v>0</v>
      </c>
      <c r="L6" s="88">
        <v>0</v>
      </c>
      <c r="M6"/>
    </row>
    <row r="7" spans="1:15" ht="36" customHeight="1" thickBot="1" x14ac:dyDescent="0.25">
      <c r="A7" s="123"/>
      <c r="B7" s="72" t="s">
        <v>29</v>
      </c>
      <c r="C7" s="69" t="s">
        <v>58</v>
      </c>
      <c r="D7" s="91">
        <v>45026</v>
      </c>
      <c r="E7" s="91">
        <v>45026</v>
      </c>
      <c r="F7" s="74" t="s">
        <v>134</v>
      </c>
      <c r="G7" s="73" t="s">
        <v>131</v>
      </c>
      <c r="H7" s="40" t="s">
        <v>71</v>
      </c>
      <c r="I7" s="75">
        <v>2.5</v>
      </c>
      <c r="J7" s="43">
        <v>1</v>
      </c>
      <c r="K7" s="43">
        <v>0</v>
      </c>
      <c r="L7" s="88">
        <v>0</v>
      </c>
      <c r="M7"/>
    </row>
    <row r="8" spans="1:15" ht="36.75" customHeight="1" thickBot="1" x14ac:dyDescent="0.25">
      <c r="A8" s="123"/>
      <c r="B8" s="72" t="s">
        <v>30</v>
      </c>
      <c r="C8" s="69" t="s">
        <v>59</v>
      </c>
      <c r="D8" s="91">
        <v>45021</v>
      </c>
      <c r="E8" s="91">
        <v>45021</v>
      </c>
      <c r="F8" s="74" t="s">
        <v>133</v>
      </c>
      <c r="G8" s="73" t="s">
        <v>129</v>
      </c>
      <c r="H8" s="40" t="s">
        <v>71</v>
      </c>
      <c r="I8" s="75">
        <v>2.5</v>
      </c>
      <c r="J8" s="43">
        <v>1.5</v>
      </c>
      <c r="K8" s="43">
        <v>0</v>
      </c>
      <c r="L8" s="88">
        <v>0</v>
      </c>
      <c r="M8"/>
    </row>
    <row r="9" spans="1:15" ht="33" customHeight="1" thickBot="1" x14ac:dyDescent="0.25">
      <c r="A9" s="123"/>
      <c r="B9" s="72" t="s">
        <v>31</v>
      </c>
      <c r="C9" s="69" t="s">
        <v>60</v>
      </c>
      <c r="D9" s="91">
        <v>45023</v>
      </c>
      <c r="E9" s="91">
        <v>45023</v>
      </c>
      <c r="F9" s="83">
        <v>1320363</v>
      </c>
      <c r="G9" s="73" t="s">
        <v>129</v>
      </c>
      <c r="H9" s="40" t="s">
        <v>71</v>
      </c>
      <c r="I9" s="75">
        <v>6</v>
      </c>
      <c r="J9" s="43">
        <v>3</v>
      </c>
      <c r="K9" s="43">
        <v>0</v>
      </c>
      <c r="L9" s="88">
        <v>0</v>
      </c>
      <c r="M9"/>
    </row>
    <row r="10" spans="1:15" ht="28.5" customHeight="1" thickBot="1" x14ac:dyDescent="0.25">
      <c r="A10" s="123"/>
      <c r="B10" s="72" t="s">
        <v>32</v>
      </c>
      <c r="C10" s="69" t="s">
        <v>61</v>
      </c>
      <c r="D10" s="91">
        <v>45022</v>
      </c>
      <c r="E10" s="91">
        <v>45022</v>
      </c>
      <c r="F10" s="74" t="s">
        <v>134</v>
      </c>
      <c r="G10" s="73" t="s">
        <v>129</v>
      </c>
      <c r="H10" s="40" t="s">
        <v>71</v>
      </c>
      <c r="I10" s="75">
        <v>2</v>
      </c>
      <c r="J10" s="43">
        <v>1</v>
      </c>
      <c r="K10" s="43">
        <v>0</v>
      </c>
      <c r="L10" s="88">
        <v>0</v>
      </c>
      <c r="M10"/>
    </row>
    <row r="11" spans="1:15" ht="35.25" customHeight="1" thickBot="1" x14ac:dyDescent="0.25">
      <c r="A11" s="124"/>
      <c r="B11" s="89" t="s">
        <v>53</v>
      </c>
      <c r="C11" s="90" t="s">
        <v>62</v>
      </c>
      <c r="D11" s="91">
        <v>45027</v>
      </c>
      <c r="E11" s="91">
        <v>45027</v>
      </c>
      <c r="F11" s="74" t="s">
        <v>126</v>
      </c>
      <c r="G11" s="73" t="s">
        <v>132</v>
      </c>
      <c r="H11" s="40" t="s">
        <v>71</v>
      </c>
      <c r="I11" s="75">
        <v>3</v>
      </c>
      <c r="J11" s="59">
        <v>3</v>
      </c>
      <c r="K11" s="59">
        <v>2</v>
      </c>
      <c r="L11" s="94">
        <v>0</v>
      </c>
      <c r="M11"/>
    </row>
    <row r="12" spans="1:15" ht="47.25" customHeight="1" thickBot="1" x14ac:dyDescent="0.25">
      <c r="A12" s="122" t="s">
        <v>84</v>
      </c>
      <c r="B12" s="89"/>
      <c r="C12" s="57"/>
      <c r="D12" s="91"/>
      <c r="E12" s="91"/>
      <c r="F12" s="61"/>
      <c r="G12" s="91"/>
      <c r="H12" s="58"/>
      <c r="I12" s="93"/>
      <c r="J12" s="86"/>
      <c r="K12" s="86"/>
      <c r="L12" s="87"/>
      <c r="M12"/>
    </row>
    <row r="13" spans="1:15" ht="29.25" customHeight="1" thickBot="1" x14ac:dyDescent="0.25">
      <c r="A13" s="123"/>
      <c r="B13" s="80" t="s">
        <v>27</v>
      </c>
      <c r="C13" s="81" t="s">
        <v>56</v>
      </c>
      <c r="D13" s="91">
        <v>45021</v>
      </c>
      <c r="E13" s="91">
        <v>45021</v>
      </c>
      <c r="F13" s="108">
        <v>1320352</v>
      </c>
      <c r="G13" s="79" t="s">
        <v>129</v>
      </c>
      <c r="H13" s="56" t="s">
        <v>71</v>
      </c>
      <c r="I13" s="41">
        <v>6</v>
      </c>
      <c r="J13" s="43">
        <v>5</v>
      </c>
      <c r="K13" s="43">
        <v>1</v>
      </c>
      <c r="L13" s="88">
        <v>0</v>
      </c>
      <c r="M13" s="95"/>
      <c r="N13" s="95"/>
      <c r="O13" s="95"/>
    </row>
    <row r="14" spans="1:15" ht="30.75" customHeight="1" thickBot="1" x14ac:dyDescent="0.25">
      <c r="A14" s="123"/>
      <c r="B14" s="72" t="s">
        <v>28</v>
      </c>
      <c r="C14" s="69" t="s">
        <v>57</v>
      </c>
      <c r="D14" s="91">
        <v>45027</v>
      </c>
      <c r="E14" s="91">
        <v>45027</v>
      </c>
      <c r="F14" s="74" t="s">
        <v>126</v>
      </c>
      <c r="G14" s="73" t="s">
        <v>130</v>
      </c>
      <c r="H14" s="40" t="s">
        <v>71</v>
      </c>
      <c r="I14" s="75">
        <v>1</v>
      </c>
      <c r="J14" s="43">
        <v>0.5</v>
      </c>
      <c r="K14" s="43">
        <v>0.5</v>
      </c>
      <c r="L14" s="88">
        <v>0</v>
      </c>
      <c r="M14" s="95"/>
      <c r="N14" s="95"/>
      <c r="O14" s="95"/>
    </row>
    <row r="15" spans="1:15" ht="30" customHeight="1" thickBot="1" x14ac:dyDescent="0.25">
      <c r="A15" s="123"/>
      <c r="B15" s="72" t="s">
        <v>29</v>
      </c>
      <c r="C15" s="69" t="s">
        <v>58</v>
      </c>
      <c r="D15" s="91">
        <v>45026</v>
      </c>
      <c r="E15" s="91">
        <v>45026</v>
      </c>
      <c r="F15" s="108">
        <v>1320352</v>
      </c>
      <c r="G15" s="73" t="s">
        <v>131</v>
      </c>
      <c r="H15" s="40" t="s">
        <v>71</v>
      </c>
      <c r="I15" s="75">
        <v>2</v>
      </c>
      <c r="J15" s="43">
        <v>2</v>
      </c>
      <c r="K15" s="43">
        <v>1</v>
      </c>
      <c r="L15" s="88">
        <v>0</v>
      </c>
      <c r="M15" s="95"/>
      <c r="N15" s="95"/>
      <c r="O15" s="95"/>
    </row>
    <row r="16" spans="1:15" ht="32.25" customHeight="1" thickBot="1" x14ac:dyDescent="0.25">
      <c r="A16" s="123"/>
      <c r="B16" s="72" t="s">
        <v>30</v>
      </c>
      <c r="C16" s="69" t="s">
        <v>59</v>
      </c>
      <c r="D16" s="91">
        <v>45021</v>
      </c>
      <c r="E16" s="91">
        <v>45021</v>
      </c>
      <c r="F16" s="74" t="s">
        <v>133</v>
      </c>
      <c r="G16" s="73" t="s">
        <v>129</v>
      </c>
      <c r="H16" s="40" t="s">
        <v>71</v>
      </c>
      <c r="I16" s="75">
        <v>2.5</v>
      </c>
      <c r="J16" s="43">
        <v>2</v>
      </c>
      <c r="K16" s="43">
        <v>1</v>
      </c>
      <c r="L16" s="88">
        <v>0</v>
      </c>
      <c r="M16" s="95"/>
      <c r="N16" s="95"/>
      <c r="O16" s="95"/>
    </row>
    <row r="17" spans="1:15" ht="30" customHeight="1" thickBot="1" x14ac:dyDescent="0.25">
      <c r="A17" s="123"/>
      <c r="B17" s="72" t="s">
        <v>31</v>
      </c>
      <c r="C17" s="69" t="s">
        <v>60</v>
      </c>
      <c r="D17" s="91">
        <v>45023</v>
      </c>
      <c r="E17" s="91">
        <v>45023</v>
      </c>
      <c r="F17" s="74" t="s">
        <v>126</v>
      </c>
      <c r="G17" s="73" t="s">
        <v>129</v>
      </c>
      <c r="H17" s="40" t="s">
        <v>71</v>
      </c>
      <c r="I17" s="75">
        <v>5</v>
      </c>
      <c r="J17" s="43">
        <v>4</v>
      </c>
      <c r="K17" s="43">
        <v>2.5</v>
      </c>
      <c r="L17" s="88">
        <v>0</v>
      </c>
      <c r="M17" s="95"/>
      <c r="N17" s="95"/>
      <c r="O17" s="95"/>
    </row>
    <row r="18" spans="1:15" ht="32.25" customHeight="1" thickBot="1" x14ac:dyDescent="0.25">
      <c r="A18" s="123"/>
      <c r="B18" s="72" t="s">
        <v>32</v>
      </c>
      <c r="C18" s="69" t="s">
        <v>61</v>
      </c>
      <c r="D18" s="91">
        <v>45022</v>
      </c>
      <c r="E18" s="91">
        <v>45022</v>
      </c>
      <c r="F18" s="74" t="s">
        <v>133</v>
      </c>
      <c r="G18" s="73" t="s">
        <v>129</v>
      </c>
      <c r="H18" s="40" t="s">
        <v>71</v>
      </c>
      <c r="I18" s="75">
        <v>2</v>
      </c>
      <c r="J18" s="43">
        <v>1.5</v>
      </c>
      <c r="K18" s="43">
        <v>0.5</v>
      </c>
      <c r="L18" s="88">
        <v>0</v>
      </c>
      <c r="M18" s="95"/>
      <c r="N18" s="95"/>
      <c r="O18" s="95"/>
    </row>
    <row r="19" spans="1:15" ht="24" customHeight="1" thickBot="1" x14ac:dyDescent="0.25">
      <c r="A19" s="124"/>
      <c r="B19" s="89" t="s">
        <v>53</v>
      </c>
      <c r="C19" s="90" t="s">
        <v>62</v>
      </c>
      <c r="D19" s="91">
        <v>45027</v>
      </c>
      <c r="E19" s="91">
        <v>45027</v>
      </c>
      <c r="F19" s="74" t="s">
        <v>134</v>
      </c>
      <c r="G19" s="73" t="s">
        <v>132</v>
      </c>
      <c r="H19" s="40" t="s">
        <v>71</v>
      </c>
      <c r="I19" s="75">
        <v>3</v>
      </c>
      <c r="J19" s="59">
        <v>3</v>
      </c>
      <c r="K19" s="59">
        <v>2</v>
      </c>
      <c r="L19" s="94">
        <v>0</v>
      </c>
      <c r="M19" s="95"/>
      <c r="N19" s="95"/>
      <c r="O19" s="95"/>
    </row>
    <row r="20" spans="1:15" ht="32.25" customHeight="1" thickBot="1" x14ac:dyDescent="0.25">
      <c r="A20" s="122" t="s">
        <v>85</v>
      </c>
      <c r="B20" s="72"/>
      <c r="C20" s="44"/>
      <c r="D20" s="73"/>
      <c r="E20" s="73"/>
      <c r="F20" s="74"/>
      <c r="G20" s="73"/>
      <c r="H20" s="40"/>
      <c r="I20" s="75"/>
      <c r="J20" s="86"/>
      <c r="K20" s="86"/>
      <c r="L20" s="87"/>
      <c r="M20" s="95"/>
      <c r="N20" s="95"/>
      <c r="O20" s="95"/>
    </row>
    <row r="21" spans="1:15" ht="24" customHeight="1" thickBot="1" x14ac:dyDescent="0.25">
      <c r="A21" s="123"/>
      <c r="B21" s="80" t="s">
        <v>27</v>
      </c>
      <c r="C21" s="81" t="s">
        <v>56</v>
      </c>
      <c r="D21" s="91">
        <v>45021</v>
      </c>
      <c r="E21" s="91">
        <v>45021</v>
      </c>
      <c r="F21" s="74" t="s">
        <v>133</v>
      </c>
      <c r="G21" s="73" t="s">
        <v>129</v>
      </c>
      <c r="H21" s="40" t="s">
        <v>71</v>
      </c>
      <c r="I21" s="75">
        <v>5</v>
      </c>
      <c r="J21" s="43">
        <v>2</v>
      </c>
      <c r="K21" s="43">
        <v>0</v>
      </c>
      <c r="L21" s="88">
        <v>0</v>
      </c>
      <c r="M21" s="95"/>
      <c r="N21" s="95"/>
      <c r="O21" s="95"/>
    </row>
    <row r="22" spans="1:15" ht="24" customHeight="1" thickBot="1" x14ac:dyDescent="0.25">
      <c r="A22" s="123"/>
      <c r="B22" s="72" t="s">
        <v>28</v>
      </c>
      <c r="C22" s="69" t="s">
        <v>57</v>
      </c>
      <c r="D22" s="91">
        <v>45021</v>
      </c>
      <c r="E22" s="91">
        <v>45021</v>
      </c>
      <c r="F22" s="74">
        <v>1320367</v>
      </c>
      <c r="G22" s="73" t="s">
        <v>130</v>
      </c>
      <c r="H22" s="40" t="s">
        <v>71</v>
      </c>
      <c r="I22" s="75">
        <v>1</v>
      </c>
      <c r="J22" s="43">
        <v>0.5</v>
      </c>
      <c r="K22" s="43">
        <v>0</v>
      </c>
      <c r="L22" s="88">
        <v>0</v>
      </c>
      <c r="M22" s="95"/>
      <c r="N22" s="95"/>
      <c r="O22" s="95"/>
    </row>
    <row r="23" spans="1:15" ht="24" customHeight="1" thickBot="1" x14ac:dyDescent="0.25">
      <c r="A23" s="123"/>
      <c r="B23" s="72" t="s">
        <v>29</v>
      </c>
      <c r="C23" s="69" t="s">
        <v>58</v>
      </c>
      <c r="D23" s="91">
        <v>45021</v>
      </c>
      <c r="E23" s="91">
        <v>45021</v>
      </c>
      <c r="F23" s="83">
        <v>1320363</v>
      </c>
      <c r="G23" s="73" t="s">
        <v>131</v>
      </c>
      <c r="H23" s="40" t="s">
        <v>71</v>
      </c>
      <c r="I23" s="75">
        <v>2</v>
      </c>
      <c r="J23" s="43">
        <v>1</v>
      </c>
      <c r="K23" s="43">
        <v>0</v>
      </c>
      <c r="L23" s="88">
        <v>0</v>
      </c>
      <c r="M23" s="95"/>
      <c r="N23" s="95"/>
      <c r="O23" s="95"/>
    </row>
    <row r="24" spans="1:15" ht="24" customHeight="1" thickBot="1" x14ac:dyDescent="0.25">
      <c r="A24" s="123"/>
      <c r="B24" s="72" t="s">
        <v>30</v>
      </c>
      <c r="C24" s="69" t="s">
        <v>59</v>
      </c>
      <c r="D24" s="91">
        <v>45021</v>
      </c>
      <c r="E24" s="91">
        <v>45021</v>
      </c>
      <c r="F24" s="74" t="s">
        <v>134</v>
      </c>
      <c r="G24" s="73" t="s">
        <v>129</v>
      </c>
      <c r="H24" s="40" t="s">
        <v>71</v>
      </c>
      <c r="I24" s="75">
        <v>2</v>
      </c>
      <c r="J24" s="43">
        <v>1</v>
      </c>
      <c r="K24" s="43">
        <v>0.5</v>
      </c>
      <c r="L24" s="88">
        <v>0</v>
      </c>
      <c r="M24" s="95"/>
      <c r="N24" s="95"/>
      <c r="O24" s="95"/>
    </row>
    <row r="25" spans="1:15" ht="24" customHeight="1" thickBot="1" x14ac:dyDescent="0.25">
      <c r="A25" s="123"/>
      <c r="B25" s="72" t="s">
        <v>31</v>
      </c>
      <c r="C25" s="69" t="s">
        <v>60</v>
      </c>
      <c r="D25" s="91">
        <v>45021</v>
      </c>
      <c r="E25" s="91">
        <v>45021</v>
      </c>
      <c r="F25" s="74" t="s">
        <v>133</v>
      </c>
      <c r="G25" s="73" t="s">
        <v>129</v>
      </c>
      <c r="H25" s="40" t="s">
        <v>71</v>
      </c>
      <c r="I25" s="75">
        <v>5</v>
      </c>
      <c r="J25" s="43">
        <v>3</v>
      </c>
      <c r="K25" s="43">
        <v>1</v>
      </c>
      <c r="L25" s="88">
        <v>0</v>
      </c>
      <c r="M25" s="95"/>
      <c r="N25" s="95"/>
      <c r="O25" s="95"/>
    </row>
    <row r="26" spans="1:15" ht="29.25" customHeight="1" thickBot="1" x14ac:dyDescent="0.25">
      <c r="A26" s="123"/>
      <c r="B26" s="72" t="s">
        <v>32</v>
      </c>
      <c r="C26" s="69" t="s">
        <v>61</v>
      </c>
      <c r="D26" s="91">
        <v>45021</v>
      </c>
      <c r="E26" s="91">
        <v>45021</v>
      </c>
      <c r="F26" s="74" t="s">
        <v>126</v>
      </c>
      <c r="G26" s="73" t="s">
        <v>129</v>
      </c>
      <c r="H26" s="40" t="s">
        <v>71</v>
      </c>
      <c r="I26" s="75">
        <v>2</v>
      </c>
      <c r="J26" s="43">
        <v>1</v>
      </c>
      <c r="K26" s="43">
        <v>0</v>
      </c>
      <c r="L26" s="88">
        <v>0</v>
      </c>
      <c r="M26" s="95"/>
      <c r="N26" s="95"/>
      <c r="O26" s="95"/>
    </row>
    <row r="27" spans="1:15" ht="20.25" customHeight="1" thickBot="1" x14ac:dyDescent="0.25">
      <c r="A27" s="124"/>
      <c r="B27" s="89" t="s">
        <v>53</v>
      </c>
      <c r="C27" s="90" t="s">
        <v>62</v>
      </c>
      <c r="D27" s="91">
        <v>45021</v>
      </c>
      <c r="E27" s="91">
        <v>45021</v>
      </c>
      <c r="F27" s="74">
        <v>1320363</v>
      </c>
      <c r="G27" s="73" t="s">
        <v>132</v>
      </c>
      <c r="H27" s="40" t="s">
        <v>71</v>
      </c>
      <c r="I27" s="75">
        <v>2</v>
      </c>
      <c r="J27" s="59">
        <v>2</v>
      </c>
      <c r="K27" s="59">
        <v>1.5</v>
      </c>
      <c r="L27" s="94">
        <v>0</v>
      </c>
      <c r="M27" s="95"/>
      <c r="N27" s="95"/>
      <c r="O27" s="95"/>
    </row>
    <row r="28" spans="1:15" ht="20.25" customHeight="1" thickBot="1" x14ac:dyDescent="0.25">
      <c r="A28" s="122" t="s">
        <v>86</v>
      </c>
      <c r="B28" s="72"/>
      <c r="C28" s="44"/>
      <c r="D28" s="73"/>
      <c r="E28" s="73"/>
      <c r="F28" s="74"/>
      <c r="G28" s="73"/>
      <c r="H28" s="40"/>
      <c r="I28" s="75"/>
      <c r="J28" s="86"/>
      <c r="K28" s="86"/>
      <c r="L28" s="87"/>
      <c r="M28" s="95"/>
      <c r="N28" s="95"/>
      <c r="O28" s="95"/>
    </row>
    <row r="29" spans="1:15" ht="33" customHeight="1" thickBot="1" x14ac:dyDescent="0.25">
      <c r="A29" s="123"/>
      <c r="B29" s="80" t="s">
        <v>27</v>
      </c>
      <c r="C29" s="81" t="s">
        <v>56</v>
      </c>
      <c r="D29" s="91">
        <v>45021</v>
      </c>
      <c r="E29" s="91">
        <v>45021</v>
      </c>
      <c r="F29" s="74" t="s">
        <v>126</v>
      </c>
      <c r="G29" s="73" t="s">
        <v>129</v>
      </c>
      <c r="H29" s="40" t="s">
        <v>71</v>
      </c>
      <c r="I29" s="75">
        <v>0.5</v>
      </c>
      <c r="J29" s="43">
        <v>0.5</v>
      </c>
      <c r="K29" s="43">
        <v>0.5</v>
      </c>
      <c r="L29" s="88">
        <v>0</v>
      </c>
      <c r="M29" s="95"/>
      <c r="N29" s="95"/>
      <c r="O29" s="95"/>
    </row>
    <row r="30" spans="1:15" ht="30" customHeight="1" thickBot="1" x14ac:dyDescent="0.25">
      <c r="A30" s="123"/>
      <c r="B30" s="72" t="s">
        <v>28</v>
      </c>
      <c r="C30" s="69" t="s">
        <v>57</v>
      </c>
      <c r="D30" s="91">
        <v>45027</v>
      </c>
      <c r="E30" s="91">
        <v>45027</v>
      </c>
      <c r="F30" s="74" t="s">
        <v>133</v>
      </c>
      <c r="G30" s="73" t="s">
        <v>130</v>
      </c>
      <c r="H30" s="40" t="s">
        <v>71</v>
      </c>
      <c r="I30" s="75">
        <v>1</v>
      </c>
      <c r="J30" s="43">
        <v>1</v>
      </c>
      <c r="K30" s="43">
        <v>0</v>
      </c>
      <c r="L30" s="88">
        <v>0</v>
      </c>
      <c r="M30" s="95"/>
      <c r="N30" s="95"/>
      <c r="O30" s="95"/>
    </row>
    <row r="31" spans="1:15" ht="28.5" customHeight="1" thickBot="1" x14ac:dyDescent="0.25">
      <c r="A31" s="123"/>
      <c r="B31" s="72" t="s">
        <v>29</v>
      </c>
      <c r="C31" s="69" t="s">
        <v>58</v>
      </c>
      <c r="D31" s="91">
        <v>45026</v>
      </c>
      <c r="E31" s="91">
        <v>45026</v>
      </c>
      <c r="F31" s="74">
        <v>1320367</v>
      </c>
      <c r="G31" s="73" t="s">
        <v>131</v>
      </c>
      <c r="H31" s="40" t="s">
        <v>71</v>
      </c>
      <c r="I31" s="75">
        <v>1</v>
      </c>
      <c r="J31" s="43">
        <v>1</v>
      </c>
      <c r="K31" s="43">
        <v>0</v>
      </c>
      <c r="L31" s="88">
        <v>0</v>
      </c>
      <c r="M31" s="95"/>
      <c r="N31" s="95"/>
      <c r="O31" s="95"/>
    </row>
    <row r="32" spans="1:15" ht="29.25" customHeight="1" thickBot="1" x14ac:dyDescent="0.25">
      <c r="A32" s="123"/>
      <c r="B32" s="72" t="s">
        <v>30</v>
      </c>
      <c r="C32" s="69" t="s">
        <v>59</v>
      </c>
      <c r="D32" s="91">
        <v>45021</v>
      </c>
      <c r="E32" s="91">
        <v>45021</v>
      </c>
      <c r="F32" s="74">
        <v>1320352</v>
      </c>
      <c r="G32" s="73" t="s">
        <v>129</v>
      </c>
      <c r="H32" s="40" t="s">
        <v>71</v>
      </c>
      <c r="I32" s="75">
        <v>0</v>
      </c>
      <c r="J32" s="43">
        <v>0</v>
      </c>
      <c r="K32" s="43">
        <v>0</v>
      </c>
      <c r="L32" s="88">
        <v>0</v>
      </c>
      <c r="M32" s="95"/>
      <c r="N32" s="95"/>
      <c r="O32" s="95"/>
    </row>
    <row r="33" spans="1:15" ht="39.75" customHeight="1" thickBot="1" x14ac:dyDescent="0.25">
      <c r="A33" s="123"/>
      <c r="B33" s="72" t="s">
        <v>31</v>
      </c>
      <c r="C33" s="69" t="s">
        <v>60</v>
      </c>
      <c r="D33" s="91">
        <v>45023</v>
      </c>
      <c r="E33" s="91">
        <v>45023</v>
      </c>
      <c r="F33" s="74" t="s">
        <v>126</v>
      </c>
      <c r="G33" s="73" t="s">
        <v>129</v>
      </c>
      <c r="H33" s="40" t="s">
        <v>71</v>
      </c>
      <c r="I33" s="75">
        <v>0</v>
      </c>
      <c r="J33" s="43">
        <v>0</v>
      </c>
      <c r="K33" s="43">
        <v>0</v>
      </c>
      <c r="L33" s="88">
        <v>0</v>
      </c>
      <c r="M33" s="95"/>
      <c r="N33" s="95"/>
      <c r="O33" s="95"/>
    </row>
    <row r="34" spans="1:15" ht="36" customHeight="1" thickBot="1" x14ac:dyDescent="0.25">
      <c r="A34" s="123"/>
      <c r="B34" s="72" t="s">
        <v>32</v>
      </c>
      <c r="C34" s="69" t="s">
        <v>61</v>
      </c>
      <c r="D34" s="91">
        <v>45022</v>
      </c>
      <c r="E34" s="91">
        <v>45022</v>
      </c>
      <c r="F34" s="74" t="s">
        <v>133</v>
      </c>
      <c r="G34" s="73" t="s">
        <v>129</v>
      </c>
      <c r="H34" s="40" t="s">
        <v>71</v>
      </c>
      <c r="I34" s="75">
        <v>0</v>
      </c>
      <c r="J34" s="43">
        <v>0</v>
      </c>
      <c r="K34" s="43">
        <v>0</v>
      </c>
      <c r="L34" s="88">
        <v>0</v>
      </c>
      <c r="M34" s="95"/>
      <c r="N34" s="95"/>
      <c r="O34" s="95"/>
    </row>
    <row r="35" spans="1:15" ht="21.75" customHeight="1" thickBot="1" x14ac:dyDescent="0.25">
      <c r="A35" s="124"/>
      <c r="B35" s="89" t="s">
        <v>53</v>
      </c>
      <c r="C35" s="90" t="s">
        <v>62</v>
      </c>
      <c r="D35" s="91">
        <v>45027</v>
      </c>
      <c r="E35" s="91">
        <v>45027</v>
      </c>
      <c r="F35" s="74" t="s">
        <v>126</v>
      </c>
      <c r="G35" s="73" t="s">
        <v>132</v>
      </c>
      <c r="H35" s="40" t="s">
        <v>71</v>
      </c>
      <c r="I35" s="75">
        <v>1</v>
      </c>
      <c r="J35" s="59">
        <v>0</v>
      </c>
      <c r="K35" s="59">
        <v>0</v>
      </c>
      <c r="L35" s="94">
        <v>0</v>
      </c>
      <c r="M35" s="95"/>
      <c r="N35" s="95"/>
      <c r="O35" s="95"/>
    </row>
    <row r="36" spans="1:15" ht="21.75" customHeight="1" thickBot="1" x14ac:dyDescent="0.25">
      <c r="A36" s="71"/>
      <c r="B36" s="72"/>
      <c r="C36" s="44"/>
      <c r="D36" s="73"/>
      <c r="E36" s="73"/>
      <c r="F36" s="74"/>
      <c r="G36" s="73"/>
      <c r="H36" s="40"/>
      <c r="I36" s="75"/>
      <c r="J36" s="42"/>
      <c r="K36" s="42"/>
      <c r="L36" s="42"/>
      <c r="M36" s="95"/>
      <c r="N36" s="95"/>
      <c r="O36" s="95"/>
    </row>
    <row r="37" spans="1:15" ht="21.75" customHeight="1" thickBot="1" x14ac:dyDescent="0.25">
      <c r="A37" s="76"/>
      <c r="B37" s="80"/>
      <c r="C37" s="81"/>
      <c r="D37" s="91"/>
      <c r="E37" s="91"/>
      <c r="F37" s="74"/>
      <c r="G37" s="73"/>
      <c r="H37" s="40"/>
      <c r="I37" s="75"/>
      <c r="J37" s="43"/>
      <c r="K37" s="43"/>
      <c r="L37" s="43"/>
      <c r="M37" s="95"/>
      <c r="N37" s="95"/>
      <c r="O37" s="95"/>
    </row>
    <row r="38" spans="1:15" ht="21.75" customHeight="1" thickBot="1" x14ac:dyDescent="0.25">
      <c r="A38" s="76"/>
      <c r="B38" s="72"/>
      <c r="C38" s="69"/>
      <c r="D38" s="91"/>
      <c r="E38" s="91"/>
      <c r="F38" s="74"/>
      <c r="G38" s="73"/>
      <c r="H38" s="40"/>
      <c r="I38" s="75"/>
      <c r="J38" s="43"/>
      <c r="K38" s="43"/>
      <c r="L38" s="43"/>
      <c r="M38" s="95"/>
      <c r="N38" s="95"/>
      <c r="O38" s="95"/>
    </row>
    <row r="39" spans="1:15" ht="21" customHeight="1" thickBot="1" x14ac:dyDescent="0.25">
      <c r="A39" s="76"/>
      <c r="B39" s="72"/>
      <c r="C39" s="69"/>
      <c r="D39" s="91"/>
      <c r="E39" s="91"/>
      <c r="F39" s="74"/>
      <c r="G39" s="73"/>
      <c r="H39" s="40"/>
      <c r="I39" s="75"/>
      <c r="J39" s="43"/>
      <c r="K39" s="43"/>
      <c r="L39" s="43"/>
      <c r="M39" s="95"/>
      <c r="N39" s="95"/>
      <c r="O39" s="95"/>
    </row>
    <row r="40" spans="1:15" ht="19.5" customHeight="1" thickBot="1" x14ac:dyDescent="0.25">
      <c r="A40" s="76"/>
      <c r="B40" s="72"/>
      <c r="C40" s="69"/>
      <c r="D40" s="91"/>
      <c r="E40" s="91"/>
      <c r="F40" s="74"/>
      <c r="G40" s="73"/>
      <c r="H40" s="40"/>
      <c r="I40" s="75"/>
      <c r="J40" s="43"/>
      <c r="K40" s="43"/>
      <c r="L40" s="43"/>
      <c r="M40" s="95"/>
      <c r="N40" s="95"/>
      <c r="O40" s="95"/>
    </row>
    <row r="41" spans="1:15" ht="17.25" customHeight="1" thickBot="1" x14ac:dyDescent="0.25">
      <c r="A41" s="76"/>
      <c r="B41" s="72"/>
      <c r="C41" s="69"/>
      <c r="D41" s="91"/>
      <c r="E41" s="91"/>
      <c r="F41" s="74"/>
      <c r="G41" s="73"/>
      <c r="H41" s="40"/>
      <c r="I41" s="75"/>
      <c r="J41" s="43"/>
      <c r="K41" s="43"/>
      <c r="L41" s="43"/>
      <c r="M41" s="95"/>
      <c r="N41" s="95"/>
      <c r="O41" s="95"/>
    </row>
    <row r="42" spans="1:15" ht="17.25" customHeight="1" thickBot="1" x14ac:dyDescent="0.25">
      <c r="A42" s="76"/>
      <c r="B42" s="72"/>
      <c r="C42" s="69"/>
      <c r="D42" s="91"/>
      <c r="E42" s="91"/>
      <c r="F42" s="73"/>
      <c r="G42" s="73"/>
      <c r="H42" s="73"/>
      <c r="I42" s="43"/>
      <c r="J42" s="43"/>
      <c r="K42" s="43"/>
      <c r="L42" s="43"/>
      <c r="M42" s="95"/>
      <c r="N42" s="95"/>
      <c r="O42" s="95"/>
    </row>
    <row r="43" spans="1:15" ht="17.25" customHeight="1" thickBot="1" x14ac:dyDescent="0.25">
      <c r="A43" s="76"/>
      <c r="B43" s="89"/>
      <c r="C43" s="90"/>
      <c r="D43" s="91"/>
      <c r="E43" s="91"/>
      <c r="F43" s="78"/>
      <c r="G43" s="77"/>
      <c r="H43" s="77"/>
      <c r="I43" s="77"/>
      <c r="J43" s="43"/>
      <c r="K43" s="43"/>
      <c r="L43" s="43"/>
      <c r="M43" s="95"/>
      <c r="N43" s="95"/>
      <c r="O43" s="95"/>
    </row>
    <row r="44" spans="1:15" ht="17.25" customHeight="1" x14ac:dyDescent="0.2">
      <c r="A44" s="76"/>
      <c r="B44" s="72"/>
      <c r="C44" s="44"/>
      <c r="D44" s="73"/>
      <c r="E44" s="73"/>
      <c r="F44" s="74"/>
      <c r="G44" s="73"/>
      <c r="H44" s="40"/>
      <c r="I44" s="75"/>
      <c r="J44" s="43"/>
      <c r="K44" s="43"/>
      <c r="L44" s="43"/>
      <c r="M44" s="95"/>
      <c r="N44" s="95"/>
      <c r="O44" s="95"/>
    </row>
    <row r="45" spans="1:15" ht="17.25" customHeight="1" x14ac:dyDescent="0.2">
      <c r="A45" s="76"/>
      <c r="B45" s="72"/>
      <c r="C45" s="44"/>
      <c r="D45" s="73"/>
      <c r="E45" s="73"/>
      <c r="F45" s="74"/>
      <c r="G45" s="73"/>
      <c r="H45" s="40"/>
      <c r="I45" s="75"/>
      <c r="J45" s="43"/>
      <c r="K45" s="43"/>
      <c r="L45" s="43"/>
      <c r="M45" s="95"/>
      <c r="N45" s="95"/>
      <c r="O45" s="95"/>
    </row>
    <row r="46" spans="1:15" ht="15.75" customHeight="1" x14ac:dyDescent="0.2">
      <c r="A46" s="76"/>
      <c r="B46" s="72"/>
      <c r="C46" s="44"/>
      <c r="D46" s="73"/>
      <c r="E46" s="73"/>
      <c r="F46" s="74"/>
      <c r="G46" s="73"/>
      <c r="H46" s="40"/>
      <c r="I46" s="75"/>
      <c r="J46" s="43"/>
      <c r="K46" s="43"/>
      <c r="L46" s="43"/>
      <c r="M46" s="95"/>
      <c r="N46" s="95"/>
      <c r="O46" s="95"/>
    </row>
    <row r="47" spans="1:15" ht="18.75" customHeight="1" x14ac:dyDescent="0.2">
      <c r="A47" s="76"/>
      <c r="B47" s="72"/>
      <c r="C47" s="44"/>
      <c r="D47" s="73"/>
      <c r="E47" s="73"/>
      <c r="F47" s="74"/>
      <c r="G47" s="73"/>
      <c r="H47" s="40"/>
      <c r="I47" s="75"/>
      <c r="J47" s="43"/>
      <c r="K47" s="43"/>
      <c r="L47" s="43"/>
      <c r="M47" s="95"/>
      <c r="N47" s="95"/>
      <c r="O47" s="95"/>
    </row>
    <row r="48" spans="1:15" ht="19.5" customHeight="1" x14ac:dyDescent="0.2">
      <c r="A48" s="76"/>
      <c r="B48" s="72"/>
      <c r="C48" s="44"/>
      <c r="D48" s="73"/>
      <c r="E48" s="73"/>
      <c r="F48" s="74"/>
      <c r="G48" s="73"/>
      <c r="H48" s="40"/>
      <c r="I48" s="75"/>
      <c r="J48" s="43"/>
      <c r="K48" s="43"/>
      <c r="L48" s="43"/>
      <c r="M48" s="95"/>
      <c r="N48" s="95"/>
      <c r="O48" s="95"/>
    </row>
    <row r="49" spans="1:15" ht="19.5" customHeight="1" x14ac:dyDescent="0.2">
      <c r="A49" s="76"/>
      <c r="B49" s="72"/>
      <c r="C49" s="44"/>
      <c r="D49" s="73"/>
      <c r="E49" s="73"/>
      <c r="F49" s="74"/>
      <c r="G49" s="73"/>
      <c r="H49" s="40"/>
      <c r="I49" s="75"/>
      <c r="J49" s="43"/>
      <c r="K49" s="43"/>
      <c r="L49" s="43"/>
      <c r="M49" s="95"/>
      <c r="N49" s="95"/>
      <c r="O49" s="95"/>
    </row>
    <row r="50" spans="1:15" ht="19.5" customHeight="1" x14ac:dyDescent="0.2">
      <c r="A50" s="76"/>
      <c r="B50" s="72"/>
      <c r="C50" s="44"/>
      <c r="D50" s="73"/>
      <c r="E50" s="73"/>
      <c r="F50" s="74"/>
      <c r="G50" s="73"/>
      <c r="H50" s="40"/>
      <c r="I50" s="75"/>
      <c r="J50" s="43"/>
      <c r="K50" s="43"/>
      <c r="L50" s="43"/>
      <c r="M50" s="95"/>
      <c r="N50" s="95"/>
      <c r="O50" s="95"/>
    </row>
    <row r="51" spans="1:15" ht="19.5" customHeight="1" x14ac:dyDescent="0.2">
      <c r="A51" s="76"/>
      <c r="B51" s="72"/>
      <c r="C51" s="44"/>
      <c r="D51" s="73"/>
      <c r="E51" s="73"/>
      <c r="F51" s="74"/>
      <c r="G51" s="73"/>
      <c r="H51" s="40"/>
      <c r="I51" s="75"/>
      <c r="J51" s="43"/>
      <c r="K51" s="43"/>
      <c r="L51" s="43"/>
      <c r="M51" s="95"/>
      <c r="N51" s="95"/>
      <c r="O51" s="95"/>
    </row>
    <row r="52" spans="1:15" ht="19.5" customHeight="1" x14ac:dyDescent="0.2">
      <c r="A52" s="76"/>
      <c r="B52" s="72"/>
      <c r="C52" s="44"/>
      <c r="D52" s="73"/>
      <c r="E52" s="73"/>
      <c r="F52" s="74"/>
      <c r="G52" s="73"/>
      <c r="H52" s="40"/>
      <c r="I52" s="75"/>
      <c r="J52" s="43"/>
      <c r="K52" s="43"/>
      <c r="L52" s="43"/>
      <c r="M52" s="95"/>
      <c r="N52" s="95"/>
      <c r="O52" s="95"/>
    </row>
    <row r="53" spans="1:15" ht="20.25" customHeight="1" x14ac:dyDescent="0.2">
      <c r="A53" s="76"/>
      <c r="B53" s="72"/>
      <c r="C53" s="44"/>
      <c r="D53" s="73"/>
      <c r="E53" s="73"/>
      <c r="F53" s="74"/>
      <c r="G53" s="73"/>
      <c r="H53" s="40"/>
      <c r="I53" s="75"/>
      <c r="J53" s="43"/>
      <c r="K53" s="43"/>
      <c r="L53" s="43"/>
      <c r="M53" s="95"/>
      <c r="N53" s="95"/>
      <c r="O53" s="95"/>
    </row>
    <row r="54" spans="1:15" ht="18" customHeight="1" x14ac:dyDescent="0.2">
      <c r="A54" s="76"/>
      <c r="B54" s="72"/>
      <c r="C54" s="44"/>
      <c r="D54" s="73"/>
      <c r="E54" s="73"/>
      <c r="F54" s="74"/>
      <c r="G54" s="73"/>
      <c r="H54" s="40"/>
      <c r="I54" s="75"/>
      <c r="J54" s="43"/>
      <c r="K54" s="43"/>
      <c r="L54" s="43"/>
      <c r="M54" s="95"/>
      <c r="N54" s="95"/>
      <c r="O54" s="95"/>
    </row>
    <row r="55" spans="1:15" ht="17.25" customHeight="1" x14ac:dyDescent="0.2">
      <c r="A55" s="76"/>
      <c r="B55" s="72"/>
      <c r="C55" s="44"/>
      <c r="D55" s="73"/>
      <c r="E55" s="73"/>
      <c r="F55" s="74"/>
      <c r="G55" s="73"/>
      <c r="H55" s="40"/>
      <c r="I55" s="75"/>
      <c r="J55" s="43"/>
      <c r="K55" s="43"/>
      <c r="L55" s="43"/>
      <c r="M55" s="95"/>
      <c r="N55" s="95"/>
      <c r="O55" s="95"/>
    </row>
    <row r="56" spans="1:15" ht="17.25" customHeight="1" x14ac:dyDescent="0.2">
      <c r="A56" s="76"/>
      <c r="B56" s="72"/>
      <c r="C56" s="44"/>
      <c r="D56" s="73"/>
      <c r="E56" s="73"/>
      <c r="F56" s="74"/>
      <c r="G56" s="73"/>
      <c r="H56" s="40"/>
      <c r="I56" s="75"/>
      <c r="J56" s="43"/>
      <c r="K56" s="43"/>
      <c r="L56" s="43"/>
      <c r="M56" s="95"/>
      <c r="N56" s="95"/>
      <c r="O56" s="95"/>
    </row>
    <row r="57" spans="1:15" ht="17.25" customHeight="1" x14ac:dyDescent="0.2">
      <c r="A57" s="76"/>
      <c r="B57" s="72"/>
      <c r="C57" s="44"/>
      <c r="D57" s="73"/>
      <c r="E57" s="73"/>
      <c r="F57" s="74"/>
      <c r="G57" s="73"/>
      <c r="H57" s="40"/>
      <c r="I57" s="75"/>
      <c r="J57" s="43"/>
      <c r="K57" s="43"/>
      <c r="L57" s="43"/>
      <c r="M57" s="95"/>
      <c r="N57" s="95"/>
      <c r="O57" s="95"/>
    </row>
    <row r="58" spans="1:15" ht="17.25" customHeight="1" x14ac:dyDescent="0.2">
      <c r="A58" s="76"/>
      <c r="B58" s="72"/>
      <c r="C58" s="44"/>
      <c r="D58" s="73"/>
      <c r="E58" s="73"/>
      <c r="F58" s="74"/>
      <c r="G58" s="73"/>
      <c r="H58" s="40"/>
      <c r="I58" s="75"/>
      <c r="J58" s="43"/>
      <c r="K58" s="43"/>
      <c r="L58" s="43"/>
      <c r="M58" s="95"/>
      <c r="N58" s="95"/>
      <c r="O58" s="95"/>
    </row>
    <row r="59" spans="1:15" ht="17.25" customHeight="1" x14ac:dyDescent="0.2">
      <c r="A59" s="76"/>
      <c r="B59" s="72"/>
      <c r="C59" s="44"/>
      <c r="D59" s="73"/>
      <c r="E59" s="73"/>
      <c r="F59" s="74"/>
      <c r="G59" s="73"/>
      <c r="H59" s="40"/>
      <c r="I59" s="75"/>
      <c r="J59" s="43"/>
      <c r="K59" s="43"/>
      <c r="L59" s="43"/>
      <c r="M59" s="95"/>
      <c r="N59" s="95"/>
      <c r="O59" s="95"/>
    </row>
    <row r="60" spans="1:15" ht="18.75" customHeight="1" x14ac:dyDescent="0.2">
      <c r="A60" s="76"/>
      <c r="B60" s="72"/>
      <c r="C60" s="44"/>
      <c r="D60" s="73"/>
      <c r="E60" s="73"/>
      <c r="F60" s="74"/>
      <c r="G60" s="73"/>
      <c r="H60" s="40"/>
      <c r="I60" s="75"/>
      <c r="J60" s="43"/>
      <c r="K60" s="43"/>
      <c r="L60" s="43"/>
      <c r="M60" s="95"/>
      <c r="N60" s="95"/>
      <c r="O60" s="95"/>
    </row>
    <row r="61" spans="1:15" ht="18.75" customHeight="1" x14ac:dyDescent="0.2">
      <c r="A61" s="76"/>
      <c r="B61" s="72"/>
      <c r="C61" s="44"/>
      <c r="D61" s="73"/>
      <c r="E61" s="73"/>
      <c r="F61" s="74"/>
      <c r="G61" s="73"/>
      <c r="H61" s="40"/>
      <c r="I61" s="75"/>
      <c r="J61" s="43"/>
      <c r="K61" s="43"/>
      <c r="L61" s="43"/>
      <c r="M61" s="95"/>
      <c r="N61" s="95"/>
      <c r="O61" s="95"/>
    </row>
    <row r="62" spans="1:15" ht="18.75" customHeight="1" x14ac:dyDescent="0.2">
      <c r="A62" s="76"/>
      <c r="B62" s="72"/>
      <c r="C62" s="44"/>
      <c r="D62" s="73"/>
      <c r="E62" s="73"/>
      <c r="F62" s="74"/>
      <c r="G62" s="73"/>
      <c r="H62" s="40"/>
      <c r="I62" s="75"/>
      <c r="J62" s="43"/>
      <c r="K62" s="43"/>
      <c r="L62" s="43"/>
      <c r="M62" s="95"/>
      <c r="N62" s="95"/>
      <c r="O62" s="95"/>
    </row>
    <row r="63" spans="1:15" ht="18.75" customHeight="1" x14ac:dyDescent="0.2">
      <c r="A63" s="76"/>
      <c r="B63" s="72"/>
      <c r="C63" s="44"/>
      <c r="D63" s="73"/>
      <c r="E63" s="73"/>
      <c r="F63" s="74"/>
      <c r="G63" s="73"/>
      <c r="H63" s="40"/>
      <c r="I63" s="75"/>
      <c r="J63" s="43"/>
      <c r="K63" s="43"/>
      <c r="L63" s="43"/>
      <c r="M63" s="95"/>
      <c r="N63" s="95"/>
      <c r="O63" s="95"/>
    </row>
    <row r="64" spans="1:15" ht="18.75" customHeight="1" x14ac:dyDescent="0.2">
      <c r="A64" s="76"/>
      <c r="B64" s="72"/>
      <c r="C64" s="44"/>
      <c r="D64" s="73"/>
      <c r="E64" s="73"/>
      <c r="F64" s="74"/>
      <c r="G64" s="73"/>
      <c r="H64" s="40"/>
      <c r="I64" s="75"/>
      <c r="J64" s="43"/>
      <c r="K64" s="43"/>
      <c r="L64" s="43"/>
      <c r="M64" s="95"/>
      <c r="N64" s="95"/>
      <c r="O64" s="95"/>
    </row>
    <row r="65" spans="1:15" ht="18" customHeight="1" x14ac:dyDescent="0.2">
      <c r="A65" s="76"/>
      <c r="B65" s="72"/>
      <c r="C65" s="44"/>
      <c r="D65" s="73"/>
      <c r="E65" s="73"/>
      <c r="F65" s="73"/>
      <c r="G65" s="73"/>
      <c r="H65" s="73"/>
      <c r="I65" s="43"/>
      <c r="J65" s="43"/>
      <c r="K65" s="43"/>
      <c r="L65" s="77"/>
      <c r="M65" s="95"/>
      <c r="N65" s="95"/>
      <c r="O65" s="95"/>
    </row>
    <row r="66" spans="1:15" ht="18" customHeight="1" x14ac:dyDescent="0.2">
      <c r="A66" s="95"/>
      <c r="B66" s="95"/>
      <c r="C66" s="95"/>
      <c r="D66" s="95"/>
      <c r="E66" s="95"/>
      <c r="F66" s="95"/>
      <c r="G66" s="95"/>
      <c r="H66" s="95"/>
      <c r="I66" s="95"/>
      <c r="J66" s="95"/>
      <c r="K66" s="95"/>
      <c r="L66" s="95"/>
      <c r="M66" s="95"/>
      <c r="N66" s="95"/>
      <c r="O66" s="95"/>
    </row>
    <row r="67" spans="1:15" ht="24" customHeight="1" x14ac:dyDescent="0.2">
      <c r="A67" s="95"/>
      <c r="B67" s="95"/>
      <c r="C67" s="95"/>
      <c r="D67" s="95"/>
      <c r="E67" s="95"/>
      <c r="F67" s="95"/>
      <c r="G67" s="95"/>
      <c r="H67" s="95"/>
      <c r="I67" s="95"/>
      <c r="J67" s="95"/>
      <c r="K67" s="95"/>
      <c r="L67" s="95"/>
      <c r="M67" s="95"/>
      <c r="N67" s="95"/>
      <c r="O67" s="95"/>
    </row>
    <row r="68" spans="1:15" ht="24" customHeight="1" x14ac:dyDescent="0.2">
      <c r="A68" s="95"/>
      <c r="B68" s="95"/>
      <c r="C68" s="95"/>
      <c r="D68" s="95"/>
      <c r="E68" s="95"/>
      <c r="F68" s="95"/>
      <c r="G68" s="95"/>
      <c r="H68" s="95"/>
      <c r="I68" s="95"/>
      <c r="J68" s="95"/>
      <c r="K68" s="95"/>
      <c r="L68" s="95"/>
      <c r="M68" s="95"/>
      <c r="N68" s="95"/>
      <c r="O68" s="95"/>
    </row>
    <row r="69" spans="1:15" ht="12.75" customHeight="1" x14ac:dyDescent="0.2">
      <c r="A69" s="95"/>
      <c r="B69" s="95"/>
      <c r="C69" s="95"/>
      <c r="D69" s="95"/>
      <c r="E69" s="95"/>
      <c r="F69" s="95"/>
      <c r="G69" s="95"/>
      <c r="H69" s="95"/>
      <c r="I69" s="95"/>
      <c r="J69" s="95"/>
      <c r="K69" s="95"/>
      <c r="L69" s="95"/>
      <c r="M69" s="95"/>
      <c r="N69" s="95"/>
      <c r="O69" s="95"/>
    </row>
    <row r="70" spans="1:15" ht="53.25" customHeight="1" x14ac:dyDescent="0.2">
      <c r="A70" s="95"/>
      <c r="B70" s="95"/>
      <c r="C70" s="95"/>
      <c r="D70" s="95"/>
      <c r="E70" s="95"/>
      <c r="F70" s="95"/>
      <c r="G70" s="95"/>
      <c r="H70" s="95"/>
      <c r="I70" s="95"/>
      <c r="J70" s="95"/>
      <c r="K70" s="95"/>
      <c r="L70" s="95"/>
      <c r="M70" s="95"/>
      <c r="N70" s="95"/>
      <c r="O70" s="95"/>
    </row>
    <row r="71" spans="1:15" ht="42" customHeight="1" x14ac:dyDescent="0.2">
      <c r="A71" s="95"/>
      <c r="B71" s="95"/>
      <c r="C71" s="95"/>
      <c r="D71" s="95"/>
      <c r="E71" s="95"/>
      <c r="F71" s="95"/>
      <c r="G71" s="95"/>
      <c r="H71" s="95"/>
      <c r="I71" s="95"/>
      <c r="J71" s="95"/>
      <c r="K71" s="95"/>
      <c r="L71" s="95"/>
      <c r="M71" s="95"/>
      <c r="N71" s="95"/>
      <c r="O71" s="95"/>
    </row>
    <row r="72" spans="1:15" ht="42" customHeight="1" x14ac:dyDescent="0.2">
      <c r="A72" s="95"/>
      <c r="B72" s="95"/>
      <c r="C72" s="95"/>
      <c r="D72" s="95"/>
      <c r="E72" s="95"/>
      <c r="F72" s="95"/>
      <c r="G72" s="95"/>
      <c r="H72" s="95"/>
      <c r="I72" s="95"/>
      <c r="J72" s="95"/>
      <c r="K72" s="95"/>
      <c r="L72" s="95"/>
      <c r="M72" s="95"/>
      <c r="N72" s="95"/>
      <c r="O72" s="95"/>
    </row>
    <row r="73" spans="1:15" ht="21.75" customHeight="1" x14ac:dyDescent="0.2">
      <c r="A73" s="95"/>
      <c r="B73" s="95"/>
      <c r="C73" s="95"/>
      <c r="D73" s="95"/>
      <c r="E73" s="95"/>
      <c r="F73" s="95"/>
      <c r="G73" s="95"/>
      <c r="H73" s="95"/>
      <c r="I73" s="95"/>
      <c r="J73" s="95"/>
      <c r="K73" s="95"/>
      <c r="L73" s="95"/>
      <c r="M73" s="95"/>
      <c r="N73" s="95"/>
      <c r="O73" s="95"/>
    </row>
    <row r="74" spans="1:15" ht="18.75" customHeight="1" x14ac:dyDescent="0.2">
      <c r="A74" s="95"/>
      <c r="B74" s="95"/>
      <c r="C74" s="95"/>
      <c r="D74" s="95"/>
      <c r="E74" s="95"/>
      <c r="F74" s="95"/>
      <c r="G74" s="95"/>
      <c r="H74" s="95"/>
      <c r="I74" s="95"/>
      <c r="J74" s="95"/>
      <c r="K74" s="95"/>
      <c r="L74" s="95"/>
      <c r="M74" s="95"/>
      <c r="N74" s="95"/>
      <c r="O74" s="95"/>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7">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H42" xr:uid="{79A0C3AA-409C-4B21-83A9-4D3C713C43F5}">
      <formula1>Status</formula1>
    </dataValidation>
    <dataValidation type="list" allowBlank="1" showInputMessage="1" showErrorMessage="1" sqref="G44:G65 G5:G42"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44:I64 I5:I41" xr:uid="{47B7EE8F-AB2F-433C-903E-60BD29850576}">
      <formula1>0</formula1>
      <formula2>12</formula2>
    </dataValidation>
    <dataValidation type="list" allowBlank="1" showInputMessage="1" showErrorMessage="1" sqref="H44:H64 H5:H41"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8" sqref="D8"/>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5" t="s">
        <v>45</v>
      </c>
      <c r="B1" s="35" t="s">
        <v>1</v>
      </c>
      <c r="C1" s="35" t="s">
        <v>38</v>
      </c>
      <c r="D1" s="35" t="s">
        <v>49</v>
      </c>
      <c r="E1" s="35" t="s">
        <v>48</v>
      </c>
      <c r="F1" s="35" t="s">
        <v>46</v>
      </c>
      <c r="G1" s="35" t="s">
        <v>47</v>
      </c>
      <c r="H1" s="31"/>
      <c r="I1" s="31"/>
      <c r="J1" s="31"/>
    </row>
    <row r="2" spans="1:10" ht="38.25" x14ac:dyDescent="0.2">
      <c r="A2" s="105">
        <v>1</v>
      </c>
      <c r="B2" s="106" t="s">
        <v>68</v>
      </c>
      <c r="C2" s="105">
        <v>1</v>
      </c>
      <c r="D2" s="106" t="s">
        <v>118</v>
      </c>
      <c r="E2" s="106" t="s">
        <v>95</v>
      </c>
      <c r="F2" s="107" t="s">
        <v>103</v>
      </c>
      <c r="G2" s="106" t="s">
        <v>111</v>
      </c>
    </row>
    <row r="3" spans="1:10" ht="27" customHeight="1" x14ac:dyDescent="0.2">
      <c r="A3" s="105">
        <v>1</v>
      </c>
      <c r="B3" s="106" t="s">
        <v>80</v>
      </c>
      <c r="C3" s="105">
        <v>1</v>
      </c>
      <c r="D3" s="105" t="s">
        <v>119</v>
      </c>
      <c r="E3" s="106" t="s">
        <v>96</v>
      </c>
      <c r="F3" s="105" t="s">
        <v>104</v>
      </c>
      <c r="G3" s="106" t="s">
        <v>112</v>
      </c>
    </row>
    <row r="4" spans="1:10" ht="38.25" x14ac:dyDescent="0.2">
      <c r="A4" s="105">
        <v>1</v>
      </c>
      <c r="B4" s="106" t="s">
        <v>81</v>
      </c>
      <c r="C4" s="105">
        <v>2</v>
      </c>
      <c r="D4" s="105" t="s">
        <v>121</v>
      </c>
      <c r="E4" s="106" t="s">
        <v>97</v>
      </c>
      <c r="F4" s="105" t="s">
        <v>105</v>
      </c>
      <c r="G4" s="106" t="s">
        <v>113</v>
      </c>
    </row>
    <row r="5" spans="1:10" ht="38.25" x14ac:dyDescent="0.2">
      <c r="A5" s="105">
        <v>1</v>
      </c>
      <c r="B5" s="106" t="s">
        <v>84</v>
      </c>
      <c r="C5" s="105">
        <v>2</v>
      </c>
      <c r="D5" s="105" t="s">
        <v>120</v>
      </c>
      <c r="E5" s="106" t="s">
        <v>98</v>
      </c>
      <c r="F5" s="105" t="s">
        <v>106</v>
      </c>
      <c r="G5" s="106" t="s">
        <v>114</v>
      </c>
    </row>
    <row r="6" spans="1:10" ht="25.5" x14ac:dyDescent="0.2">
      <c r="A6" s="105">
        <v>2</v>
      </c>
      <c r="B6" s="106" t="s">
        <v>82</v>
      </c>
      <c r="C6" s="105">
        <v>3</v>
      </c>
      <c r="D6" s="105" t="s">
        <v>119</v>
      </c>
      <c r="E6" s="106" t="s">
        <v>102</v>
      </c>
      <c r="F6" s="105" t="s">
        <v>107</v>
      </c>
      <c r="G6" s="106" t="s">
        <v>115</v>
      </c>
    </row>
    <row r="7" spans="1:10" ht="32.25" customHeight="1" x14ac:dyDescent="0.2">
      <c r="A7" s="105">
        <v>2</v>
      </c>
      <c r="B7" s="106" t="s">
        <v>83</v>
      </c>
      <c r="C7" s="105">
        <v>4</v>
      </c>
      <c r="D7" s="106" t="s">
        <v>122</v>
      </c>
      <c r="E7" s="106" t="s">
        <v>101</v>
      </c>
      <c r="F7" s="106" t="s">
        <v>108</v>
      </c>
      <c r="G7" s="105" t="s">
        <v>116</v>
      </c>
    </row>
    <row r="8" spans="1:10" ht="33" customHeight="1" x14ac:dyDescent="0.2">
      <c r="A8" s="105">
        <v>2</v>
      </c>
      <c r="B8" s="106" t="s">
        <v>85</v>
      </c>
      <c r="C8" s="105">
        <v>5</v>
      </c>
      <c r="D8" s="106" t="s">
        <v>122</v>
      </c>
      <c r="E8" s="105" t="s">
        <v>100</v>
      </c>
      <c r="F8" s="106" t="s">
        <v>109</v>
      </c>
      <c r="G8" s="105" t="s">
        <v>117</v>
      </c>
    </row>
    <row r="9" spans="1:10" ht="28.5" customHeight="1" x14ac:dyDescent="0.2">
      <c r="A9" s="32">
        <v>2</v>
      </c>
      <c r="B9" s="32" t="s">
        <v>86</v>
      </c>
      <c r="C9" s="32">
        <v>5</v>
      </c>
      <c r="D9" s="33" t="s">
        <v>119</v>
      </c>
      <c r="E9" s="32" t="s">
        <v>99</v>
      </c>
      <c r="F9" s="32" t="s">
        <v>110</v>
      </c>
      <c r="G9" s="32" t="s">
        <v>115</v>
      </c>
    </row>
    <row r="10" spans="1:10" ht="15" x14ac:dyDescent="0.25">
      <c r="A10" s="32"/>
      <c r="B10" s="32"/>
      <c r="C10" s="32"/>
      <c r="D10" s="33"/>
      <c r="E10" s="68"/>
      <c r="F10" s="33"/>
      <c r="G10" s="33"/>
    </row>
    <row r="11" spans="1:10" x14ac:dyDescent="0.2">
      <c r="A11" s="32"/>
      <c r="B11" s="32"/>
      <c r="C11" s="32"/>
      <c r="D11" s="33"/>
      <c r="E11" s="32"/>
      <c r="F11" s="32"/>
      <c r="G11" s="32"/>
    </row>
    <row r="12" spans="1:10" x14ac:dyDescent="0.2">
      <c r="A12" s="32"/>
      <c r="B12" s="32"/>
      <c r="C12" s="32"/>
      <c r="D12" s="32"/>
      <c r="E12" s="32"/>
      <c r="F12" s="32"/>
      <c r="G12" s="32"/>
    </row>
    <row r="13" spans="1:10" x14ac:dyDescent="0.2">
      <c r="A13" s="32"/>
      <c r="B13" s="32"/>
      <c r="C13" s="32"/>
      <c r="D13" s="32"/>
      <c r="E13" s="32"/>
      <c r="F13" s="32"/>
      <c r="G13" s="32"/>
    </row>
    <row r="14" spans="1:10" x14ac:dyDescent="0.2">
      <c r="A14" s="32"/>
      <c r="B14" s="32"/>
      <c r="C14" s="32"/>
      <c r="D14" s="32"/>
      <c r="E14" s="32"/>
      <c r="F14" s="32"/>
      <c r="G14" s="32"/>
    </row>
    <row r="15" spans="1:10" x14ac:dyDescent="0.2">
      <c r="A15" s="32"/>
      <c r="B15" s="32"/>
      <c r="C15" s="32"/>
      <c r="D15" s="32"/>
      <c r="E15" s="32"/>
      <c r="F15" s="32"/>
      <c r="G15" s="32"/>
    </row>
    <row r="16" spans="1:10" x14ac:dyDescent="0.2">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123A6-518A-4E4A-AE01-C480477BB329}">
  <dimension ref="A1"/>
  <sheetViews>
    <sheetView workbookViewId="0"/>
  </sheetViews>
  <sheetFormatPr defaultRowHeight="12.7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961A4-1908-4432-A6B0-E4DE9CB76485}">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7"/>
  <sheetViews>
    <sheetView showGridLines="0" tabSelected="1" zoomScale="76" workbookViewId="0">
      <selection activeCell="G15" sqref="G15"/>
    </sheetView>
  </sheetViews>
  <sheetFormatPr defaultRowHeight="12.75" x14ac:dyDescent="0.2"/>
  <cols>
    <col min="1" max="1" width="6.85546875" style="1" customWidth="1"/>
    <col min="2" max="4" width="12.28515625" style="15" customWidth="1"/>
    <col min="5" max="5" width="31.42578125" style="1" customWidth="1"/>
    <col min="6" max="6" width="75" style="15" customWidth="1"/>
    <col min="7" max="7" width="40.7109375" style="16" customWidth="1"/>
    <col min="8" max="8" width="56.85546875" style="1" customWidth="1"/>
    <col min="9" max="9" width="44.85546875" style="1" customWidth="1"/>
    <col min="10" max="16384" width="9.140625" style="1"/>
  </cols>
  <sheetData>
    <row r="1" spans="1:9" s="14" customFormat="1" ht="45.75" customHeight="1" x14ac:dyDescent="0.2">
      <c r="A1" s="13" t="s">
        <v>10</v>
      </c>
      <c r="B1" s="13" t="s">
        <v>21</v>
      </c>
      <c r="C1" s="13" t="s">
        <v>22</v>
      </c>
      <c r="D1" s="13" t="s">
        <v>44</v>
      </c>
      <c r="E1" s="13" t="s">
        <v>25</v>
      </c>
      <c r="F1" s="13" t="s">
        <v>20</v>
      </c>
      <c r="G1" s="13" t="s">
        <v>23</v>
      </c>
      <c r="H1" s="13" t="s">
        <v>24</v>
      </c>
      <c r="I1" s="13" t="s">
        <v>43</v>
      </c>
    </row>
    <row r="2" spans="1:9" s="22" customFormat="1" ht="30.75" customHeight="1" x14ac:dyDescent="0.2">
      <c r="A2" s="19">
        <v>1</v>
      </c>
      <c r="B2" s="19">
        <v>1</v>
      </c>
      <c r="C2" s="67">
        <v>45021</v>
      </c>
      <c r="D2" s="67">
        <v>45023</v>
      </c>
      <c r="E2" s="153">
        <v>1320367</v>
      </c>
      <c r="F2" s="19" t="s">
        <v>135</v>
      </c>
      <c r="G2" s="21"/>
      <c r="H2" s="153" t="s">
        <v>143</v>
      </c>
      <c r="I2" s="23"/>
    </row>
    <row r="3" spans="1:9" s="22" customFormat="1" ht="25.5" customHeight="1" x14ac:dyDescent="0.2">
      <c r="A3" s="19">
        <v>2</v>
      </c>
      <c r="B3" s="19">
        <v>1</v>
      </c>
      <c r="C3" s="67">
        <v>45021</v>
      </c>
      <c r="D3" s="67">
        <v>45023</v>
      </c>
      <c r="E3" s="153">
        <v>1320363</v>
      </c>
      <c r="F3" s="19" t="s">
        <v>136</v>
      </c>
      <c r="G3" s="20" t="s">
        <v>140</v>
      </c>
      <c r="H3" s="153" t="s">
        <v>143</v>
      </c>
      <c r="I3" s="23" t="s">
        <v>144</v>
      </c>
    </row>
    <row r="4" spans="1:9" s="22" customFormat="1" ht="27.75" customHeight="1" x14ac:dyDescent="0.2">
      <c r="A4" s="19">
        <v>3</v>
      </c>
      <c r="B4" s="19">
        <v>1</v>
      </c>
      <c r="C4" s="67">
        <v>45021</v>
      </c>
      <c r="D4" s="67">
        <v>45023</v>
      </c>
      <c r="E4" s="153">
        <v>1320362</v>
      </c>
      <c r="F4" s="19" t="s">
        <v>138</v>
      </c>
      <c r="G4" s="20"/>
      <c r="H4" s="153" t="s">
        <v>143</v>
      </c>
      <c r="I4" s="23"/>
    </row>
    <row r="5" spans="1:9" s="22" customFormat="1" ht="24.75" customHeight="1" x14ac:dyDescent="0.2">
      <c r="A5" s="19">
        <v>4</v>
      </c>
      <c r="B5" s="19">
        <v>2</v>
      </c>
      <c r="C5" s="67">
        <v>45021</v>
      </c>
      <c r="D5" s="67">
        <v>45023</v>
      </c>
      <c r="E5" s="153">
        <v>1320352</v>
      </c>
      <c r="F5" s="19" t="s">
        <v>137</v>
      </c>
      <c r="G5" s="20" t="s">
        <v>141</v>
      </c>
      <c r="H5" s="153" t="s">
        <v>143</v>
      </c>
      <c r="I5" s="23" t="s">
        <v>145</v>
      </c>
    </row>
    <row r="6" spans="1:9" s="22" customFormat="1" ht="24" customHeight="1" x14ac:dyDescent="0.2">
      <c r="A6" s="19">
        <v>6</v>
      </c>
      <c r="B6" s="19">
        <v>2</v>
      </c>
      <c r="C6" s="67">
        <v>45026</v>
      </c>
      <c r="D6" s="67">
        <v>45028</v>
      </c>
      <c r="E6" s="153">
        <v>1320362</v>
      </c>
      <c r="F6" s="19" t="s">
        <v>139</v>
      </c>
      <c r="G6" s="20" t="s">
        <v>142</v>
      </c>
      <c r="H6" s="153" t="s">
        <v>143</v>
      </c>
      <c r="I6" s="23" t="s">
        <v>146</v>
      </c>
    </row>
    <row r="7" spans="1:9" x14ac:dyDescent="0.2">
      <c r="E7" s="154"/>
    </row>
  </sheetData>
  <pageMargins left="0.7" right="0.7" top="0.75" bottom="0.75" header="0.3" footer="0.3"/>
  <pageSetup orientation="portrait" horizontalDpi="4294967292"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E17" sqref="E17"/>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49" t="s">
        <v>39</v>
      </c>
      <c r="D2" s="149"/>
      <c r="E2" s="149"/>
    </row>
    <row r="3" spans="1:10" x14ac:dyDescent="0.2">
      <c r="C3" s="150"/>
      <c r="D3" s="150"/>
      <c r="E3" s="150"/>
      <c r="F3" s="27"/>
      <c r="G3" s="27"/>
      <c r="H3" s="27"/>
      <c r="I3" s="27"/>
    </row>
    <row r="4" spans="1:10" s="6" customFormat="1" ht="33.75" customHeight="1" x14ac:dyDescent="0.2">
      <c r="B4" s="2" t="s">
        <v>35</v>
      </c>
      <c r="C4" s="2" t="s">
        <v>38</v>
      </c>
      <c r="D4" s="2" t="s">
        <v>18</v>
      </c>
      <c r="E4" s="2" t="s">
        <v>19</v>
      </c>
      <c r="F4"/>
      <c r="G4" s="151" t="s">
        <v>34</v>
      </c>
      <c r="H4" s="151"/>
      <c r="I4" s="151"/>
      <c r="J4" s="28"/>
    </row>
    <row r="5" spans="1:10" s="6" customFormat="1" ht="15.75" customHeight="1" x14ac:dyDescent="0.2">
      <c r="B5" s="147">
        <v>1</v>
      </c>
      <c r="C5" s="3">
        <v>0</v>
      </c>
      <c r="D5" s="3">
        <v>76.5</v>
      </c>
      <c r="E5" s="3">
        <f>E6+E7</f>
        <v>70.5</v>
      </c>
      <c r="F5"/>
      <c r="G5" s="152"/>
      <c r="H5" s="152"/>
      <c r="I5" s="152"/>
      <c r="J5" s="28"/>
    </row>
    <row r="6" spans="1:10" ht="18.75" customHeight="1" x14ac:dyDescent="0.2">
      <c r="B6" s="148"/>
      <c r="C6" s="3">
        <v>1</v>
      </c>
      <c r="D6" s="3">
        <v>51</v>
      </c>
      <c r="E6" s="26">
        <v>49</v>
      </c>
      <c r="G6" s="52" t="s">
        <v>35</v>
      </c>
      <c r="H6" s="52" t="s">
        <v>18</v>
      </c>
      <c r="I6" s="52" t="s">
        <v>19</v>
      </c>
      <c r="J6" s="4"/>
    </row>
    <row r="7" spans="1:10" ht="18.75" customHeight="1" x14ac:dyDescent="0.2">
      <c r="B7" s="148"/>
      <c r="C7" s="3">
        <v>2</v>
      </c>
      <c r="D7" s="3">
        <f>ROUND(D6-(D5/3),2)</f>
        <v>25.5</v>
      </c>
      <c r="E7" s="26">
        <v>21.5</v>
      </c>
      <c r="G7" s="53">
        <v>1</v>
      </c>
      <c r="H7" s="53">
        <f>D5</f>
        <v>76.5</v>
      </c>
      <c r="I7" s="54">
        <f>E5</f>
        <v>70.5</v>
      </c>
      <c r="J7" s="29"/>
    </row>
    <row r="8" spans="1:10" ht="18.75" customHeight="1" x14ac:dyDescent="0.2">
      <c r="B8" s="148"/>
      <c r="C8" s="70">
        <v>3</v>
      </c>
      <c r="D8" s="70">
        <f>ROUND(D7-(D6/3),2)</f>
        <v>8.5</v>
      </c>
      <c r="E8" s="26">
        <f>IF(OR(Dashboard!L21="DAY 1",Dashboard!L21="DAY 2"),NA(),'Sprint I Backlog'!K4)</f>
        <v>0</v>
      </c>
      <c r="G8" s="53">
        <v>2</v>
      </c>
      <c r="H8" s="53">
        <f>D14</f>
        <v>73.5</v>
      </c>
      <c r="I8" s="54">
        <f>E14</f>
        <v>63</v>
      </c>
      <c r="J8" s="29"/>
    </row>
    <row r="9" spans="1:10" ht="18.75" customHeight="1" x14ac:dyDescent="0.2">
      <c r="C9" s="149"/>
      <c r="D9" s="149"/>
      <c r="E9" s="149"/>
      <c r="G9" s="7"/>
      <c r="H9" s="7"/>
      <c r="I9" s="7"/>
      <c r="J9" s="7"/>
    </row>
    <row r="10" spans="1:10" x14ac:dyDescent="0.2">
      <c r="C10" s="149"/>
      <c r="D10" s="149"/>
      <c r="E10" s="149"/>
    </row>
    <row r="11" spans="1:10" x14ac:dyDescent="0.2">
      <c r="C11" s="149" t="s">
        <v>40</v>
      </c>
      <c r="D11" s="149"/>
      <c r="E11" s="149"/>
    </row>
    <row r="12" spans="1:10" x14ac:dyDescent="0.2">
      <c r="C12" s="150"/>
      <c r="D12" s="150"/>
      <c r="E12" s="150"/>
    </row>
    <row r="13" spans="1:10" ht="27" customHeight="1" x14ac:dyDescent="0.2">
      <c r="A13" s="6"/>
      <c r="B13" s="2" t="s">
        <v>35</v>
      </c>
      <c r="C13" s="2" t="s">
        <v>38</v>
      </c>
      <c r="D13" s="2" t="s">
        <v>18</v>
      </c>
      <c r="E13" s="2" t="s">
        <v>19</v>
      </c>
    </row>
    <row r="14" spans="1:10" ht="19.5" customHeight="1" x14ac:dyDescent="0.2">
      <c r="A14" s="6"/>
      <c r="B14" s="147">
        <v>2</v>
      </c>
      <c r="C14" s="3">
        <v>1</v>
      </c>
      <c r="D14" s="3">
        <v>73.5</v>
      </c>
      <c r="E14" s="3">
        <v>63</v>
      </c>
    </row>
    <row r="15" spans="1:10" ht="18" customHeight="1" x14ac:dyDescent="0.2">
      <c r="B15" s="148"/>
      <c r="C15" s="3">
        <v>2</v>
      </c>
      <c r="D15" s="3">
        <f>ROUND(D14-(D14/3),2)</f>
        <v>49</v>
      </c>
      <c r="E15" s="26">
        <v>45.5</v>
      </c>
    </row>
    <row r="16" spans="1:10" ht="17.25" customHeight="1" x14ac:dyDescent="0.2">
      <c r="B16" s="148"/>
      <c r="C16" s="3">
        <v>3</v>
      </c>
      <c r="D16" s="3">
        <f>ROUND(D15-(D14/3),2)</f>
        <v>24.5</v>
      </c>
      <c r="E16" s="26">
        <v>17.5</v>
      </c>
    </row>
    <row r="17" spans="2:10" ht="20.25" customHeight="1" x14ac:dyDescent="0.2">
      <c r="B17" s="148"/>
      <c r="C17" s="70">
        <v>4</v>
      </c>
      <c r="D17" s="70">
        <f>ROUND(D16-(D15/3),2)</f>
        <v>8.17</v>
      </c>
      <c r="E17" s="26">
        <f>IF(OR(Dashboard!L21="DAY 1",Dashboard!L21="DAY 2"),NA(),'Sprint II Backlog'!K4)</f>
        <v>0</v>
      </c>
    </row>
    <row r="18" spans="2:10" x14ac:dyDescent="0.2">
      <c r="C18" s="149"/>
      <c r="D18" s="149"/>
      <c r="E18" s="149"/>
      <c r="F18" s="7"/>
      <c r="G18" s="7"/>
      <c r="H18" s="7"/>
      <c r="I18" s="7"/>
      <c r="J18" s="7"/>
    </row>
    <row r="19" spans="2:10" x14ac:dyDescent="0.2">
      <c r="C19" s="149"/>
      <c r="D19" s="149"/>
      <c r="E19" s="149"/>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Product Backlog</vt:lpstr>
      <vt:lpstr>Sprint I Backlog</vt:lpstr>
      <vt:lpstr>Sprint II Backlog</vt:lpstr>
      <vt:lpstr>Stand up Meeting</vt:lpstr>
      <vt:lpstr>Sheet1</vt:lpstr>
      <vt:lpstr>Sheet2</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Samiksha Khandait</cp:lastModifiedBy>
  <dcterms:created xsi:type="dcterms:W3CDTF">1996-10-14T23:33:28Z</dcterms:created>
  <dcterms:modified xsi:type="dcterms:W3CDTF">2023-04-12T09:59:00Z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